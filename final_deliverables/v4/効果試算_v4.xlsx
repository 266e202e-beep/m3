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" sheetId="1" state="visible" r:id="rId1"/>
    <sheet xmlns:r="http://schemas.openxmlformats.org/officeDocument/2006/relationships" name="医師セグメント" sheetId="2" state="visible" r:id="rId2"/>
    <sheet xmlns:r="http://schemas.openxmlformats.org/officeDocument/2006/relationships" name="③配信計画" sheetId="3" state="visible" r:id="rId3"/>
    <sheet xmlns:r="http://schemas.openxmlformats.org/officeDocument/2006/relationships" name="④費用計算" sheetId="4" state="visible" r:id="rId4"/>
    <sheet xmlns:r="http://schemas.openxmlformats.org/officeDocument/2006/relationships" name="⑤売上試算" sheetId="5" state="visible" r:id="rId5"/>
    <sheet xmlns:r="http://schemas.openxmlformats.org/officeDocument/2006/relationships" name="⑥シナリオ比較" sheetId="6" state="visible" r:id="rId6"/>
    <sheet xmlns:r="http://schemas.openxmlformats.org/officeDocument/2006/relationships" name="⑦計算根拠・注意事項" sheetId="7" state="visible" r:id="rId7"/>
  </sheets>
  <definedNames>
    <definedName name="unit_price">'入力'!$C$5</definedName>
    <definedName name="sales_total">'入力'!$C$6</definedName>
    <definedName name="n_all">'入力'!$C$7</definedName>
    <definedName name="n_resp">'入力'!$C$8</definedName>
    <definedName name="rx_resp">'入力'!$C$9</definedName>
    <definedName name="mkt_share">'入力'!$C$10</definedName>
    <definedName name="sales_per_pt">'入力'!$C$11</definedName>
    <definedName name="conv_low">'入力'!$C$12</definedName>
    <definedName name="conv_base">'入力'!$C$13</definedName>
    <definedName name="conv_high">'入力'!$C$14</definedName>
    <definedName name="prod_cost">'入力'!$C$15</definedName>
    <definedName name="ops_cost">'入力'!$C$16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5">
    <font>
      <name val="Calibri"/>
      <family val="2"/>
      <color theme="1"/>
      <sz val="11"/>
      <scheme val="minor"/>
    </font>
    <font>
      <name val="Meiryo"/>
      <b val="1"/>
      <color rgb="000B2A5B"/>
      <sz val="13"/>
    </font>
    <font>
      <name val="Meiryo"/>
      <sz val="10"/>
    </font>
    <font>
      <name val="Meiryo"/>
      <b val="1"/>
      <color rgb="00FFFFFF"/>
      <sz val="10"/>
    </font>
    <font>
      <name val="Meiryo"/>
      <b val="1"/>
      <sz val="10"/>
    </font>
  </fonts>
  <fills count="7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7E9EE"/>
      </patternFill>
    </fill>
    <fill>
      <patternFill patternType="solid">
        <fgColor rgb="00DCE6F5"/>
      </patternFill>
    </fill>
    <fill>
      <patternFill patternType="solid">
        <fgColor rgb="00FFF2CC"/>
      </patternFill>
    </fill>
    <fill>
      <patternFill patternType="solid">
        <fgColor rgb="00E8602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4" fillId="3" borderId="1" pivotButton="0" quotePrefix="0" xfId="0"/>
    <xf numFmtId="0" fontId="2" fillId="0" borderId="1" applyAlignment="1" pivotButton="0" quotePrefix="0" xfId="0">
      <alignment vertical="top" wrapText="1"/>
    </xf>
    <xf numFmtId="3" fontId="4" fillId="4" borderId="1" pivotButton="0" quotePrefix="0" xfId="0"/>
    <xf numFmtId="164" fontId="4" fillId="5" borderId="1" pivotButton="0" quotePrefix="0" xfId="0"/>
    <xf numFmtId="3" fontId="4" fillId="5" borderId="1" pivotButton="0" quotePrefix="0" xfId="0"/>
    <xf numFmtId="3" fontId="2" fillId="4" borderId="1" pivotButton="0" quotePrefix="0" xfId="0"/>
    <xf numFmtId="10" fontId="2" fillId="4" borderId="1" pivotButton="0" quotePrefix="0" xfId="0"/>
    <xf numFmtId="164" fontId="2" fillId="4" borderId="1" pivotButton="0" quotePrefix="0" xfId="0"/>
    <xf numFmtId="0" fontId="2" fillId="4" borderId="1" pivotButton="0" quotePrefix="0" xfId="0"/>
    <xf numFmtId="0" fontId="2" fillId="5" borderId="1" pivotButton="0" quotePrefix="0" xfId="0"/>
    <xf numFmtId="3" fontId="2" fillId="0" borderId="1" applyAlignment="1" pivotButton="0" quotePrefix="0" xfId="0">
      <alignment vertical="top" wrapText="1"/>
    </xf>
    <xf numFmtId="3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2" fontId="2" fillId="0" borderId="1" pivotButton="0" quotePrefix="0" xfId="0"/>
    <xf numFmtId="164" fontId="2" fillId="0" borderId="1" pivotButton="0" quotePrefix="0" xfId="0"/>
    <xf numFmtId="165" fontId="4" fillId="0" borderId="1" pivotButton="0" quotePrefix="0" xfId="0"/>
    <xf numFmtId="166" fontId="2" fillId="0" borderId="1" pivotButton="0" quotePrefix="0" xfId="0"/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70" customWidth="1" min="9" max="9"/>
  </cols>
  <sheetData>
    <row r="1">
      <c r="A1" s="1" t="inlineStr">
        <is>
          <t>① 入力(黄色=仮定・施策の設定、青=実測、灰=資料。色のセルを変えると全シートが再計算されます)</t>
        </is>
      </c>
    </row>
    <row r="2">
      <c r="A2" s="2" t="inlineStr">
        <is>
          <t>対象: 2026年アンケート回答医師5,000名。期間: 1年(MR君・MR面談は2025年6月〜2026年6月の活動。データ仕様書)</t>
        </is>
      </c>
    </row>
    <row r="4">
      <c r="A4" s="3" t="inlineStr">
        <is>
          <t>区分</t>
        </is>
      </c>
      <c r="B4" s="3" t="inlineStr">
        <is>
          <t>項目</t>
        </is>
      </c>
      <c r="C4" s="3" t="inlineStr">
        <is>
          <t>値</t>
        </is>
      </c>
      <c r="D4" s="3" t="inlineStr">
        <is>
          <t>単位</t>
        </is>
      </c>
      <c r="E4" s="3" t="inlineStr">
        <is>
          <t>名前</t>
        </is>
      </c>
      <c r="F4" s="3" t="inlineStr">
        <is>
          <t>出典・根拠</t>
        </is>
      </c>
    </row>
    <row r="5">
      <c r="A5" s="4" t="inlineStr">
        <is>
          <t>資料</t>
        </is>
      </c>
      <c r="B5" s="4" t="inlineStr">
        <is>
          <t>既読単価</t>
        </is>
      </c>
      <c r="C5" s="5" t="n">
        <v>400</v>
      </c>
      <c r="D5" s="4" t="inlineStr">
        <is>
          <t>円/既読</t>
        </is>
      </c>
      <c r="E5" s="4" t="inlineStr">
        <is>
          <t>unit_price</t>
        </is>
      </c>
      <c r="F5" s="6" t="inlineStr">
        <is>
          <t>データ仕様書: MR君は既読1件あたり400円(配信ではなく既読で課金)</t>
        </is>
      </c>
    </row>
    <row r="6">
      <c r="A6" s="4" t="inlineStr">
        <is>
          <t>資料</t>
        </is>
      </c>
      <c r="B6" s="4" t="inlineStr">
        <is>
          <t>薬剤Aの年間売上</t>
        </is>
      </c>
      <c r="C6" s="5" t="n">
        <v>5000000000</v>
      </c>
      <c r="D6" s="4" t="inlineStr">
        <is>
          <t>円</t>
        </is>
      </c>
      <c r="E6" s="4" t="inlineStr">
        <is>
          <t>sales_total</t>
        </is>
      </c>
      <c r="F6" s="6" t="inlineStr">
        <is>
          <t>課題資料・データ仕様書</t>
        </is>
      </c>
    </row>
    <row r="7">
      <c r="A7" s="4" t="inlineStr">
        <is>
          <t>資料</t>
        </is>
      </c>
      <c r="B7" s="4" t="inlineStr">
        <is>
          <t>全医師数</t>
        </is>
      </c>
      <c r="C7" s="5" t="n">
        <v>10000</v>
      </c>
      <c r="D7" s="4" t="inlineStr">
        <is>
          <t>名</t>
        </is>
      </c>
      <c r="E7" s="4" t="inlineStr">
        <is>
          <t>n_all</t>
        </is>
      </c>
      <c r="F7" s="6" t="inlineStr">
        <is>
          <t>データ仕様書: doctor_attributes「全10,000名」</t>
        </is>
      </c>
    </row>
    <row r="8">
      <c r="A8" s="4" t="inlineStr">
        <is>
          <t>資料</t>
        </is>
      </c>
      <c r="B8" s="4" t="inlineStr">
        <is>
          <t>アンケート回答医師数</t>
        </is>
      </c>
      <c r="C8" s="5" t="n">
        <v>5000</v>
      </c>
      <c r="D8" s="4" t="inlineStr">
        <is>
          <t>名</t>
        </is>
      </c>
      <c r="E8" s="4" t="inlineStr">
        <is>
          <t>n_resp</t>
        </is>
      </c>
      <c r="F8" s="6" t="inlineStr">
        <is>
          <t>survey_2026</t>
        </is>
      </c>
    </row>
    <row r="9">
      <c r="A9" s="4" t="inlineStr">
        <is>
          <t>実測</t>
        </is>
      </c>
      <c r="B9" s="4" t="inlineStr">
        <is>
          <t>回答医師の薬剤A処方患者数</t>
        </is>
      </c>
      <c r="C9" s="7" t="n">
        <v>11280</v>
      </c>
      <c r="D9" s="4" t="inlineStr">
        <is>
          <t>人</t>
        </is>
      </c>
      <c r="E9" s="4" t="inlineStr">
        <is>
          <t>rx_resp</t>
        </is>
      </c>
      <c r="F9" s="6" t="inlineStr">
        <is>
          <t>survey_2026 Q3_2の合計(直近1年・自己申告)</t>
        </is>
      </c>
    </row>
    <row r="10">
      <c r="A10" s="4" t="inlineStr">
        <is>
          <t>仮定</t>
        </is>
      </c>
      <c r="B10" s="4" t="inlineStr">
        <is>
          <t>全医師10,000名の処方が売上50億円に占める割合</t>
        </is>
      </c>
      <c r="C10" s="8" t="n">
        <v>1</v>
      </c>
      <c r="D10" s="4" t="inlineStr"/>
      <c r="E10" s="4" t="inlineStr">
        <is>
          <t>mkt_share</t>
        </is>
      </c>
      <c r="F10" s="6" t="inlineStr">
        <is>
          <t>仮定(要確認)。データ仕様書で10,000名が「全医師」のため100%</t>
        </is>
      </c>
    </row>
    <row r="11">
      <c r="A11" s="4" t="inlineStr">
        <is>
          <t>仮定</t>
        </is>
      </c>
      <c r="B11" s="4" t="inlineStr">
        <is>
          <t>処方患者1人あたり年間売上</t>
        </is>
      </c>
      <c r="C11" s="9">
        <f>sales_total*mkt_share/(rx_resp*n_all/n_resp)</f>
        <v/>
      </c>
      <c r="D11" s="4" t="inlineStr">
        <is>
          <t>円</t>
        </is>
      </c>
      <c r="E11" s="4" t="inlineStr">
        <is>
          <t>sales_per_pt</t>
        </is>
      </c>
      <c r="F11" s="6" t="inlineStr">
        <is>
          <t>初期値=50億円×割合÷全医師の処方患者推計(回答医師×2)。実際の単価が分かれば数値で上書き</t>
        </is>
      </c>
    </row>
    <row r="12">
      <c r="A12" s="4" t="inlineStr">
        <is>
          <t>仮定</t>
        </is>
      </c>
      <c r="B12" s="4" t="inlineStr">
        <is>
          <t>増分転換率_保守</t>
        </is>
      </c>
      <c r="C12" s="8" t="n">
        <v>0.01</v>
      </c>
      <c r="D12" s="4" t="inlineStr"/>
      <c r="E12" s="4" t="inlineStr">
        <is>
          <t>conv_low</t>
        </is>
      </c>
      <c r="F12" s="6" t="inlineStr">
        <is>
          <t>既読した医師の潜在未処方のうち、配信によって新たに処方される割合。⑦参照</t>
        </is>
      </c>
    </row>
    <row r="13">
      <c r="A13" s="4" t="inlineStr">
        <is>
          <t>仮定</t>
        </is>
      </c>
      <c r="B13" s="4" t="inlineStr">
        <is>
          <t>増分転換率_基準</t>
        </is>
      </c>
      <c r="C13" s="8" t="n">
        <v>0.03</v>
      </c>
      <c r="D13" s="4" t="inlineStr"/>
      <c r="E13" s="4" t="inlineStr">
        <is>
          <t>conv_base</t>
        </is>
      </c>
      <c r="F13" s="6" t="inlineStr">
        <is>
          <t>参考値(配信対象と対象外の差から換算)の95%区間の下限2.8%に相当</t>
        </is>
      </c>
    </row>
    <row r="14">
      <c r="A14" s="4" t="inlineStr">
        <is>
          <t>仮定</t>
        </is>
      </c>
      <c r="B14" s="4" t="inlineStr">
        <is>
          <t>増分転換率_楽観</t>
        </is>
      </c>
      <c r="C14" s="8" t="n">
        <v>0.06</v>
      </c>
      <c r="D14" s="4" t="inlineStr"/>
      <c r="E14" s="4" t="inlineStr">
        <is>
          <t>conv_high</t>
        </is>
      </c>
      <c r="F14" s="6" t="inlineStr">
        <is>
          <t>参考値の中央6.0%に相当(観察された差をすべて配信の効果とみなす)</t>
        </is>
      </c>
    </row>
    <row r="15">
      <c r="A15" s="4" t="inlineStr">
        <is>
          <t>未確認</t>
        </is>
      </c>
      <c r="B15" s="4" t="inlineStr">
        <is>
          <t>コンテンツ制作費(年)</t>
        </is>
      </c>
      <c r="C15" s="9" t="n">
        <v>0</v>
      </c>
      <c r="D15" s="4" t="inlineStr">
        <is>
          <t>円</t>
        </is>
      </c>
      <c r="E15" s="4" t="inlineStr">
        <is>
          <t>prod_cost</t>
        </is>
      </c>
      <c r="F15" s="6" t="inlineStr">
        <is>
          <t>既存10本の並べ替え・再配信のみの前提で0。新規制作する場合は入力</t>
        </is>
      </c>
    </row>
    <row r="16">
      <c r="A16" s="4" t="inlineStr">
        <is>
          <t>未確認</t>
        </is>
      </c>
      <c r="B16" s="4" t="inlineStr">
        <is>
          <t>配信設定・運用管理費(年)</t>
        </is>
      </c>
      <c r="C16" s="9" t="n">
        <v>0</v>
      </c>
      <c r="D16" s="4" t="inlineStr">
        <is>
          <t>円</t>
        </is>
      </c>
      <c r="E16" s="4" t="inlineStr">
        <is>
          <t>ops_cost</t>
        </is>
      </c>
      <c r="F16" s="6" t="inlineStr">
        <is>
          <t>未確認。判明したら入力(A案・B案の費用に加算)</t>
        </is>
      </c>
    </row>
    <row r="18">
      <c r="A18" s="1" t="inlineStr">
        <is>
          <t>群別の入力(医師ごとに主要施策を1つ。群は重複しない)</t>
        </is>
      </c>
    </row>
    <row r="19">
      <c r="A19" s="3" t="inlineStr">
        <is>
          <t>群</t>
        </is>
      </c>
      <c r="B19" s="3" t="inlineStr">
        <is>
          <t>医師数</t>
        </is>
      </c>
      <c r="C19" s="3" t="inlineStr">
        <is>
          <t>潜在未処方(人)</t>
        </is>
      </c>
      <c r="D19" s="3" t="inlineStr">
        <is>
          <t>1配信あたり既読率</t>
        </is>
      </c>
      <c r="E19" s="3" t="inlineStr">
        <is>
          <t>年10回配信時の既読医師率</t>
        </is>
      </c>
      <c r="F19" s="3" t="inlineStr">
        <is>
          <t>現状の年間配信回数</t>
        </is>
      </c>
      <c r="G19" s="3" t="inlineStr">
        <is>
          <t>A案の年間配信回数</t>
        </is>
      </c>
      <c r="H19" s="3" t="inlineStr">
        <is>
          <t>B案の年間配信回数</t>
        </is>
      </c>
      <c r="I19" s="3" t="inlineStr">
        <is>
          <t>出典・根拠</t>
        </is>
      </c>
    </row>
    <row r="20">
      <c r="A20" s="4" t="inlineStr">
        <is>
          <t>接触不足型</t>
        </is>
      </c>
      <c r="B20" s="10" t="n">
        <v>191</v>
      </c>
      <c r="C20" s="10" t="n">
        <v>2042</v>
      </c>
      <c r="D20" s="11" t="n">
        <v>0.09396825396825396</v>
      </c>
      <c r="E20" s="12" t="n">
        <v>0.473015873015873</v>
      </c>
      <c r="F20" s="13" t="n">
        <v>0</v>
      </c>
      <c r="G20" s="14" t="n">
        <v>12</v>
      </c>
      <c r="H20" s="14" t="n">
        <v>12</v>
      </c>
      <c r="I20" s="6" t="inlineStr">
        <is>
          <t>重点医師のうちMR面談なし・MR君未配信。既読率は似た状態で配信中の理解不足型の実測値</t>
        </is>
      </c>
    </row>
    <row r="21">
      <c r="A21" s="4" t="inlineStr">
        <is>
          <t>理解不足型</t>
        </is>
      </c>
      <c r="B21" s="10" t="n">
        <v>315</v>
      </c>
      <c r="C21" s="10" t="n">
        <v>3274</v>
      </c>
      <c r="D21" s="11" t="n">
        <v>0.09396825396825396</v>
      </c>
      <c r="E21" s="12" t="n">
        <v>0.473015873015873</v>
      </c>
      <c r="F21" s="13" t="n">
        <v>10</v>
      </c>
      <c r="G21" s="14" t="n">
        <v>12</v>
      </c>
      <c r="H21" s="14" t="n">
        <v>12</v>
      </c>
      <c r="I21" s="6" t="inlineStr">
        <is>
          <t>重点医師のうちMR君配信中・面談なし・処方意向3以下。既読率は実測(既読296件÷315名×10回)</t>
        </is>
      </c>
    </row>
    <row r="22">
      <c r="A22" s="4" t="inlineStr">
        <is>
          <t>意向ギャップ型</t>
        </is>
      </c>
      <c r="B22" s="10" t="n">
        <v>77</v>
      </c>
      <c r="C22" s="10" t="n">
        <v>731</v>
      </c>
      <c r="D22" s="11" t="n">
        <v>0.1090909090909091</v>
      </c>
      <c r="E22" s="12" t="n">
        <v>0.5454545454545454</v>
      </c>
      <c r="F22" s="13" t="n">
        <v>10</v>
      </c>
      <c r="G22" s="14" t="n">
        <v>24</v>
      </c>
      <c r="H22" s="14" t="n">
        <v>24</v>
      </c>
      <c r="I22" s="6" t="inlineStr">
        <is>
          <t>重点医師のうちMR君配信中・面談なし・処方意向4以上。既読率は実測</t>
        </is>
      </c>
    </row>
    <row r="23">
      <c r="A23" s="4" t="inlineStr">
        <is>
          <t>MR面談フォロー型(配信中)</t>
        </is>
      </c>
      <c r="B23" s="10" t="n">
        <v>82</v>
      </c>
      <c r="C23" s="10" t="n">
        <v>787</v>
      </c>
      <c r="D23" s="11" t="n">
        <v>0.09146341463414634</v>
      </c>
      <c r="E23" s="12" t="n">
        <v>0.3902439024390244</v>
      </c>
      <c r="F23" s="13" t="n">
        <v>10</v>
      </c>
      <c r="G23" s="14" t="n">
        <v>10</v>
      </c>
      <c r="H23" s="14" t="n">
        <v>10</v>
      </c>
      <c r="I23" s="6" t="inlineStr">
        <is>
          <t>重点医師のうちMR面談あり(118名)で配信中の82名。現状維持</t>
        </is>
      </c>
    </row>
    <row r="24">
      <c r="A24" s="4" t="inlineStr">
        <is>
          <t>未接触×潜在5〜7人</t>
        </is>
      </c>
      <c r="B24" s="10" t="n">
        <v>260</v>
      </c>
      <c r="C24" s="10" t="n">
        <v>1546</v>
      </c>
      <c r="D24" s="11" t="n">
        <v>0.1191616766467066</v>
      </c>
      <c r="E24" s="12" t="n">
        <v>0.5229540918163673</v>
      </c>
      <c r="F24" s="13" t="n">
        <v>0</v>
      </c>
      <c r="G24" s="14" t="n">
        <v>0</v>
      </c>
      <c r="H24" s="14" t="n">
        <v>12</v>
      </c>
      <c r="I24" s="6" t="inlineStr">
        <is>
          <t>B案で追加。既読率は同じ条件(内科・耳鼻・面談なし・潜在5〜7人)で配信中の医師の実測値</t>
        </is>
      </c>
    </row>
    <row r="25">
      <c r="A25" s="4" t="inlineStr">
        <is>
          <t>低優先(配信中×潜在0〜2人)</t>
        </is>
      </c>
      <c r="B25" s="10" t="n">
        <v>993</v>
      </c>
      <c r="C25" s="10" t="n">
        <v>1511</v>
      </c>
      <c r="D25" s="11" t="n">
        <v>0.1173212487411883</v>
      </c>
      <c r="E25" s="12" t="n">
        <v>0.5115810674723061</v>
      </c>
      <c r="F25" s="13" t="n">
        <v>10</v>
      </c>
      <c r="G25" s="14" t="n">
        <v>6</v>
      </c>
      <c r="H25" s="14" t="n">
        <v>6</v>
      </c>
      <c r="I25" s="6" t="inlineStr">
        <is>
          <t>A案の財源。全診療科の配信対象で潜在未処方0〜2人(1人あたり1.5人)</t>
        </is>
      </c>
    </row>
    <row r="26">
      <c r="A26" s="4" t="inlineStr">
        <is>
          <t>その他の配信中(変更なし)</t>
        </is>
      </c>
      <c r="B26" s="10" t="n">
        <v>2014</v>
      </c>
      <c r="C26" s="10" t="n">
        <v>9421</v>
      </c>
      <c r="D26" s="11" t="n">
        <v>0.1183714001986097</v>
      </c>
      <c r="E26" s="12" t="inlineStr"/>
      <c r="F26" s="13" t="n">
        <v>10</v>
      </c>
      <c r="G26" s="14" t="n">
        <v>10</v>
      </c>
      <c r="H26" s="14" t="n">
        <v>10</v>
      </c>
      <c r="I26" s="6" t="inlineStr">
        <is>
          <t>上記以外の配信対象。既読率は残りの既読件数から逆算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34" customWidth="1" min="4" max="4"/>
    <col width="34" customWidth="1" min="5" max="5"/>
    <col width="40" customWidth="1" min="6" max="6"/>
    <col width="10" customWidth="1" min="7" max="7"/>
    <col width="10" customWidth="1" min="8" max="8"/>
    <col width="12" customWidth="1" min="9" max="9"/>
    <col width="24" customWidth="1" min="10" max="10"/>
    <col width="24" customWidth="1" min="11" max="11"/>
    <col width="40" customWidth="1" min="12" max="12"/>
  </cols>
  <sheetData>
    <row r="1">
      <c r="A1" s="1" t="inlineStr">
        <is>
          <t>② 医師セグメント別施策表(重点医師701名 = 内科・耳鼻咽喉科で潜在未処方8人以上)</t>
        </is>
      </c>
    </row>
    <row r="2">
      <c r="A2" s="2" t="inlineStr">
        <is>
          <t>判定順: ①MR面談あり→MR面談フォロー型 ②MR君未配信→接触不足型 ③処方意向4以上→意向ギャップ型 ④それ以外→理解不足型。数値は回答医師ベース・A案(B案で追加する群はB案の値)。④は118名のうち配信中82名の値</t>
        </is>
      </c>
    </row>
    <row r="4">
      <c r="A4" s="3" t="inlineStr">
        <is>
          <t>医師セグメント</t>
        </is>
      </c>
      <c r="B4" s="3" t="inlineStr">
        <is>
          <t>対象医師数</t>
        </is>
      </c>
      <c r="C4" s="3" t="inlineStr">
        <is>
          <t>潜在患者数</t>
        </is>
      </c>
      <c r="D4" s="3" t="inlineStr">
        <is>
          <t>発見された課題</t>
        </is>
      </c>
      <c r="E4" s="3" t="inlineStr">
        <is>
          <t>類似高処方医師との違い</t>
        </is>
      </c>
      <c r="F4" s="3" t="inlineStr">
        <is>
          <t>推奨コンテンツ</t>
        </is>
      </c>
      <c r="G4" s="3" t="inlineStr">
        <is>
          <t>配信回数(年)</t>
        </is>
      </c>
      <c r="H4" s="3" t="inlineStr">
        <is>
          <t>想定既読件数(年)</t>
        </is>
      </c>
      <c r="I4" s="3" t="inlineStr">
        <is>
          <t>想定費用(年、円)</t>
        </is>
      </c>
      <c r="J4" s="3" t="inlineStr">
        <is>
          <t>期待する行動変化</t>
        </is>
      </c>
      <c r="K4" s="3" t="inlineStr">
        <is>
          <t>KPI</t>
        </is>
      </c>
      <c r="L4" s="3" t="inlineStr">
        <is>
          <t>なぜこの医師に、この内容を、この回数送るのか</t>
        </is>
      </c>
    </row>
    <row r="5" ht="120" customHeight="1">
      <c r="A5" s="6" t="inlineStr">
        <is>
          <t>① 接触不足型
(内科89・耳鼻102)</t>
        </is>
      </c>
      <c r="B5" s="15">
        <f>'入力'!$B$20</f>
        <v/>
      </c>
      <c r="C5" s="15">
        <f>'入力'!$C$20</f>
        <v/>
      </c>
      <c r="D5" s="6" t="inlineStr">
        <is>
          <t>MR面談もMR君配信もない。理解度1.8・処方意向2.2・処方率13%。1人あたり潜在未処方10.7人(4タイプで最多)</t>
        </is>
      </c>
      <c r="E5" s="6" t="inlineStr">
        <is>
          <t>類似高処方医師はMR面談あり51%・理解度3.8・意向4.6。重点医師は学会・論文を参考にする割合が2倍(24% vs 12%)</t>
        </is>
      </c>
      <c r="F5" s="6" t="inlineStr">
        <is>
          <t>内科: ①C04 飲み合わせガイド ②C09 多剤併用患者への処方設計 ③C03 副作用 ④C05 24時間カバー → 残り6本
耳鼻: ①C05 24時間カバーの臨床エビデンス ②C10 長期投与の安全性と有効性 ③C03 副作用 ④C01 即効メカニズム → 残り6本</t>
        </is>
      </c>
      <c r="G5" s="6">
        <f>'入力'!$G$20</f>
        <v/>
      </c>
      <c r="H5" s="15">
        <f>'④費用計算'!E6</f>
        <v/>
      </c>
      <c r="I5" s="15">
        <f>'④費用計算'!H6</f>
        <v/>
      </c>
      <c r="J5" s="6" t="inlineStr">
        <is>
          <t>MR君で初めて接点を持ち、重視テーマの理解を深める</t>
        </is>
      </c>
      <c r="K5" s="6" t="inlineStr">
        <is>
          <t>既読医師率54%(想定)、次回調査の理解度・処方意向</t>
        </is>
      </c>
      <c r="L5" s="6" t="inlineStr">
        <is>
          <t>潜在が最も多いのに接点がない。学会・論文を参考にする医師が多いため、エビデンス型の重視テーマから始め、5特性すべてを月1回(10本+重視テーマの再配信2回)で届ける。</t>
        </is>
      </c>
    </row>
    <row r="6" ht="120" customHeight="1">
      <c r="A6" s="6" t="inlineStr">
        <is>
          <t>② 理解不足型
(内科150・耳鼻165)</t>
        </is>
      </c>
      <c r="B6" s="15">
        <f>'入力'!$B$21</f>
        <v/>
      </c>
      <c r="C6" s="15">
        <f>'入力'!$C$21</f>
        <v/>
      </c>
      <c r="D6" s="6" t="inlineStr">
        <is>
          <t>配信中でも既読は年0.94件、53%が1年間未読。理解度1.8・処方意向2.1・処方率14%</t>
        </is>
      </c>
      <c r="E6" s="6" t="inlineStr">
        <is>
          <t>理解度は5特性すべてで類似高処方医師より約2低い(1.8 vs 3.8)。重点医師は配信対象でも既読が少ない(年0.96件 vs 1.31件)</t>
        </is>
      </c>
      <c r="F6" s="6" t="inlineStr">
        <is>
          <t>①と同じ順番(重視テーマ → 他の特性の基本)</t>
        </is>
      </c>
      <c r="G6" s="6">
        <f>'入力'!$G$21</f>
        <v/>
      </c>
      <c r="H6" s="15">
        <f>'④費用計算'!E7</f>
        <v/>
      </c>
      <c r="I6" s="15">
        <f>'④費用計算'!H7</f>
        <v/>
      </c>
      <c r="J6" s="6" t="inlineStr">
        <is>
          <t>重視テーマを読み、理解度を上げる</t>
        </is>
      </c>
      <c r="K6" s="6" t="inlineStr">
        <is>
          <t>既読医師率47%→54%(想定)、重視テーマの既読件数、理解度</t>
        </is>
      </c>
      <c r="L6" s="6" t="inlineStr">
        <is>
          <t>今の10本一律では、重視テーマ(内科=飲み合わせ、耳鼻=24h持続性)は配信の2割だけ。重視テーマを先頭にし、未読分を再配信して年10回→12回にする。</t>
        </is>
      </c>
    </row>
    <row r="7" ht="120" customHeight="1">
      <c r="A7" s="6" t="inlineStr">
        <is>
          <t>③ 意向ギャップ型
(内科12・耳鼻65)</t>
        </is>
      </c>
      <c r="B7" s="15">
        <f>'入力'!$B$22</f>
        <v/>
      </c>
      <c r="C7" s="15">
        <f>'入力'!$C$22</f>
        <v/>
      </c>
      <c r="D7" s="6" t="inlineStr">
        <is>
          <t>処方意向は4以上(平均4.3)なのに処方率37%</t>
        </is>
      </c>
      <c r="E7" s="6" t="inlineStr">
        <is>
          <t>処方意向は類似高処方医師(4.6)に近いが、処方率は37% vs 62%、理解度は3.0 vs 3.8</t>
        </is>
      </c>
      <c r="F7" s="6" t="inlineStr">
        <is>
          <t>処方場面の情報を中心に
内科: C09 多剤併用患者への処方設計、C04 併用時の注意点と実践
耳鼻: C10 長期投与の安全性と有効性、C05 臨床エビデンス、C02 適応症例集</t>
        </is>
      </c>
      <c r="G7" s="6">
        <f>'入力'!$G$22</f>
        <v/>
      </c>
      <c r="H7" s="15">
        <f>'④費用計算'!E8</f>
        <v/>
      </c>
      <c r="I7" s="15">
        <f>'④費用計算'!H8</f>
        <v/>
      </c>
      <c r="J7" s="6" t="inlineStr">
        <is>
          <t>処方意向を実際の処方につなげる</t>
        </is>
      </c>
      <c r="K7" s="6" t="inlineStr">
        <is>
          <t>既読医師率55%→85%(想定)、処方率</t>
        </is>
      </c>
      <c r="L7" s="6" t="inlineStr">
        <is>
          <t>処方したい気持ちはすでにあり、既読も4タイプで最多(年1.09件)。処方場面の情報を年10回→24回(月2回)に増やす。</t>
        </is>
      </c>
    </row>
    <row r="8" ht="120" customHeight="1">
      <c r="A8" s="6" t="inlineStr">
        <is>
          <t>④ MR面談フォロー型
(内科41・耳鼻77、うち配信中82)</t>
        </is>
      </c>
      <c r="B8" s="15" t="n">
        <v>118</v>
      </c>
      <c r="C8" s="15" t="n">
        <v>1140</v>
      </c>
      <c r="D8" s="6" t="inlineStr">
        <is>
          <t>MR面談あり。理解度2.7・処方意向3.2・処方率31%</t>
        </is>
      </c>
      <c r="E8" s="6" t="inlineStr">
        <is>
          <t>全員がMR面談あり(類似高処方医師は51%)。最も参考にした情報源の97%がMR対面</t>
        </is>
      </c>
      <c r="F8" s="6" t="inlineStr">
        <is>
          <t>変更なし(並び順だけ重視テーマを先頭に)</t>
        </is>
      </c>
      <c r="G8" s="6">
        <f>'入力'!$G$23</f>
        <v/>
      </c>
      <c r="H8" s="15">
        <f>'④費用計算'!E9</f>
        <v/>
      </c>
      <c r="I8" s="15">
        <f>'④費用計算'!H9</f>
        <v/>
      </c>
      <c r="J8" s="6" t="inlineStr">
        <is>
          <t>MR面談で対応(MR君は補完)</t>
        </is>
      </c>
      <c r="K8" s="6" t="inlineStr">
        <is>
          <t>現状維持(MR面談での説明状況を確認)</t>
        </is>
      </c>
      <c r="L8" s="6" t="inlineStr">
        <is>
          <t>主な情報源がMR対面のため、MR君の回数は変えない。</t>
        </is>
      </c>
    </row>
    <row r="9" ht="120" customHeight="1">
      <c r="A9" s="6" t="inlineStr">
        <is>
          <t>(B案で追加) 未接触×潜在5〜7人</t>
        </is>
      </c>
      <c r="B9" s="15">
        <f>'入力'!$B$24</f>
        <v/>
      </c>
      <c r="C9" s="15">
        <f>'入力'!$C$24</f>
        <v/>
      </c>
      <c r="D9" s="6" t="inlineStr">
        <is>
          <t>MR面談もMR君配信もない。理解度2.3・処方意向2.8。1人あたり潜在未処方5.9人</t>
        </is>
      </c>
      <c r="E9" s="6" t="inlineStr">
        <is>
          <t>重点医師(潜在8人以上)の次に伸びしろが大きい未接触層</t>
        </is>
      </c>
      <c r="F9" s="6" t="inlineStr">
        <is>
          <t>①と同じ順番</t>
        </is>
      </c>
      <c r="G9" s="6">
        <f>'入力'!$H$24</f>
        <v/>
      </c>
      <c r="H9" s="15">
        <f>'④費用計算'!F10</f>
        <v/>
      </c>
      <c r="I9" s="15">
        <f>'④費用計算'!I10</f>
        <v/>
      </c>
      <c r="J9" s="6" t="inlineStr">
        <is>
          <t>MR君で初めて接点を持つ</t>
        </is>
      </c>
      <c r="K9" s="6" t="inlineStr">
        <is>
          <t>既読医師率59%(想定)、理解度</t>
        </is>
      </c>
      <c r="L9" s="6" t="inlineStr">
        <is>
          <t>追加予算がある場合に、未接触の中で次に潜在が多い層へ月1回で広げる。</t>
        </is>
      </c>
    </row>
    <row r="10" ht="120" customHeight="1">
      <c r="A10" s="6" t="inlineStr">
        <is>
          <t>(A案の財源) 配信中×潜在0〜2人</t>
        </is>
      </c>
      <c r="B10" s="15">
        <f>'入力'!$B$25</f>
        <v/>
      </c>
      <c r="C10" s="15">
        <f>'入力'!$C$25</f>
        <v/>
      </c>
      <c r="D10" s="6" t="inlineStr">
        <is>
          <t>1人あたり潜在未処方1.5人で伸びしろが小さい(処方率50%)</t>
        </is>
      </c>
      <c r="E10" s="6" t="inlineStr">
        <is>
          <t>—</t>
        </is>
      </c>
      <c r="F10" s="6" t="inlineStr">
        <is>
          <t>重視テーマを中心に</t>
        </is>
      </c>
      <c r="G10" s="6">
        <f>'入力'!$G$25</f>
        <v/>
      </c>
      <c r="H10" s="15">
        <f>'④費用計算'!E11</f>
        <v/>
      </c>
      <c r="I10" s="15">
        <f>'④費用計算'!H11</f>
        <v/>
      </c>
      <c r="J10" s="6" t="inlineStr">
        <is>
          <t>現在の処方を維持</t>
        </is>
      </c>
      <c r="K10" s="6" t="inlineStr">
        <is>
          <t>既読医師率51%→35%(想定)、処方率の維持</t>
        </is>
      </c>
      <c r="L10" s="6" t="inlineStr">
        <is>
          <t>年10回→6回(隔月)に減らし、浮いた既読予算を①〜③に回す。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③ 配信計画(誰に・何回)</t>
        </is>
      </c>
    </row>
    <row r="4">
      <c r="A4" s="3" t="inlineStr">
        <is>
          <t>群</t>
        </is>
      </c>
      <c r="B4" s="3" t="inlineStr">
        <is>
          <t>現状回数</t>
        </is>
      </c>
      <c r="C4" s="3" t="inlineStr">
        <is>
          <t>A案回数</t>
        </is>
      </c>
      <c r="D4" s="3" t="inlineStr">
        <is>
          <t>B案回数</t>
        </is>
      </c>
      <c r="E4" s="3" t="inlineStr">
        <is>
          <t>配信医師数_現状</t>
        </is>
      </c>
      <c r="F4" s="3" t="inlineStr">
        <is>
          <t>配信医師数_A案</t>
        </is>
      </c>
      <c r="G4" s="3" t="inlineStr">
        <is>
          <t>配信医師数_B案</t>
        </is>
      </c>
      <c r="H4" s="3" t="inlineStr">
        <is>
          <t>配信件数_現状</t>
        </is>
      </c>
      <c r="I4" s="3" t="inlineStr">
        <is>
          <t>配信件数_A案</t>
        </is>
      </c>
      <c r="J4" s="3" t="inlineStr">
        <is>
          <t>配信件数_B案</t>
        </is>
      </c>
    </row>
    <row r="5">
      <c r="A5" s="4" t="inlineStr">
        <is>
          <t>接触不足型</t>
        </is>
      </c>
      <c r="B5" s="4">
        <f>'入力'!$F$20</f>
        <v/>
      </c>
      <c r="C5" s="4">
        <f>'入力'!$G$20</f>
        <v/>
      </c>
      <c r="D5" s="4">
        <f>'入力'!$H$20</f>
        <v/>
      </c>
      <c r="E5" s="16">
        <f>IF('入力'!$F$20&gt;0,'入力'!$B$20,0)</f>
        <v/>
      </c>
      <c r="F5" s="16">
        <f>IF('入力'!$G$20&gt;0,'入力'!$B$20,0)</f>
        <v/>
      </c>
      <c r="G5" s="16">
        <f>IF('入力'!$H$20&gt;0,'入力'!$B$20,0)</f>
        <v/>
      </c>
      <c r="H5" s="16">
        <f>'入力'!$B$20*'入力'!$F$20</f>
        <v/>
      </c>
      <c r="I5" s="16">
        <f>'入力'!$B$20*'入力'!$G$20</f>
        <v/>
      </c>
      <c r="J5" s="16">
        <f>'入力'!$B$20*'入力'!$H$20</f>
        <v/>
      </c>
    </row>
    <row r="6">
      <c r="A6" s="4" t="inlineStr">
        <is>
          <t>理解不足型</t>
        </is>
      </c>
      <c r="B6" s="4">
        <f>'入力'!$F$21</f>
        <v/>
      </c>
      <c r="C6" s="4">
        <f>'入力'!$G$21</f>
        <v/>
      </c>
      <c r="D6" s="4">
        <f>'入力'!$H$21</f>
        <v/>
      </c>
      <c r="E6" s="16">
        <f>IF('入力'!$F$21&gt;0,'入力'!$B$21,0)</f>
        <v/>
      </c>
      <c r="F6" s="16">
        <f>IF('入力'!$G$21&gt;0,'入力'!$B$21,0)</f>
        <v/>
      </c>
      <c r="G6" s="16">
        <f>IF('入力'!$H$21&gt;0,'入力'!$B$21,0)</f>
        <v/>
      </c>
      <c r="H6" s="16">
        <f>'入力'!$B$21*'入力'!$F$21</f>
        <v/>
      </c>
      <c r="I6" s="16">
        <f>'入力'!$B$21*'入力'!$G$21</f>
        <v/>
      </c>
      <c r="J6" s="16">
        <f>'入力'!$B$21*'入力'!$H$21</f>
        <v/>
      </c>
    </row>
    <row r="7">
      <c r="A7" s="4" t="inlineStr">
        <is>
          <t>意向ギャップ型</t>
        </is>
      </c>
      <c r="B7" s="4">
        <f>'入力'!$F$22</f>
        <v/>
      </c>
      <c r="C7" s="4">
        <f>'入力'!$G$22</f>
        <v/>
      </c>
      <c r="D7" s="4">
        <f>'入力'!$H$22</f>
        <v/>
      </c>
      <c r="E7" s="16">
        <f>IF('入力'!$F$22&gt;0,'入力'!$B$22,0)</f>
        <v/>
      </c>
      <c r="F7" s="16">
        <f>IF('入力'!$G$22&gt;0,'入力'!$B$22,0)</f>
        <v/>
      </c>
      <c r="G7" s="16">
        <f>IF('入力'!$H$22&gt;0,'入力'!$B$22,0)</f>
        <v/>
      </c>
      <c r="H7" s="16">
        <f>'入力'!$B$22*'入力'!$F$22</f>
        <v/>
      </c>
      <c r="I7" s="16">
        <f>'入力'!$B$22*'入力'!$G$22</f>
        <v/>
      </c>
      <c r="J7" s="16">
        <f>'入力'!$B$22*'入力'!$H$22</f>
        <v/>
      </c>
    </row>
    <row r="8">
      <c r="A8" s="4" t="inlineStr">
        <is>
          <t>MR面談フォロー型(配信中)</t>
        </is>
      </c>
      <c r="B8" s="4">
        <f>'入力'!$F$23</f>
        <v/>
      </c>
      <c r="C8" s="4">
        <f>'入力'!$G$23</f>
        <v/>
      </c>
      <c r="D8" s="4">
        <f>'入力'!$H$23</f>
        <v/>
      </c>
      <c r="E8" s="16">
        <f>IF('入力'!$F$23&gt;0,'入力'!$B$23,0)</f>
        <v/>
      </c>
      <c r="F8" s="16">
        <f>IF('入力'!$G$23&gt;0,'入力'!$B$23,0)</f>
        <v/>
      </c>
      <c r="G8" s="16">
        <f>IF('入力'!$H$23&gt;0,'入力'!$B$23,0)</f>
        <v/>
      </c>
      <c r="H8" s="16">
        <f>'入力'!$B$23*'入力'!$F$23</f>
        <v/>
      </c>
      <c r="I8" s="16">
        <f>'入力'!$B$23*'入力'!$G$23</f>
        <v/>
      </c>
      <c r="J8" s="16">
        <f>'入力'!$B$23*'入力'!$H$23</f>
        <v/>
      </c>
    </row>
    <row r="9">
      <c r="A9" s="4" t="inlineStr">
        <is>
          <t>未接触×潜在5〜7人</t>
        </is>
      </c>
      <c r="B9" s="4">
        <f>'入力'!$F$24</f>
        <v/>
      </c>
      <c r="C9" s="4">
        <f>'入力'!$G$24</f>
        <v/>
      </c>
      <c r="D9" s="4">
        <f>'入力'!$H$24</f>
        <v/>
      </c>
      <c r="E9" s="16">
        <f>IF('入力'!$F$24&gt;0,'入力'!$B$24,0)</f>
        <v/>
      </c>
      <c r="F9" s="16">
        <f>IF('入力'!$G$24&gt;0,'入力'!$B$24,0)</f>
        <v/>
      </c>
      <c r="G9" s="16">
        <f>IF('入力'!$H$24&gt;0,'入力'!$B$24,0)</f>
        <v/>
      </c>
      <c r="H9" s="16">
        <f>'入力'!$B$24*'入力'!$F$24</f>
        <v/>
      </c>
      <c r="I9" s="16">
        <f>'入力'!$B$24*'入力'!$G$24</f>
        <v/>
      </c>
      <c r="J9" s="16">
        <f>'入力'!$B$24*'入力'!$H$24</f>
        <v/>
      </c>
    </row>
    <row r="10">
      <c r="A10" s="4" t="inlineStr">
        <is>
          <t>低優先(配信中×潜在0〜2人)</t>
        </is>
      </c>
      <c r="B10" s="4">
        <f>'入力'!$F$25</f>
        <v/>
      </c>
      <c r="C10" s="4">
        <f>'入力'!$G$25</f>
        <v/>
      </c>
      <c r="D10" s="4">
        <f>'入力'!$H$25</f>
        <v/>
      </c>
      <c r="E10" s="16">
        <f>IF('入力'!$F$25&gt;0,'入力'!$B$25,0)</f>
        <v/>
      </c>
      <c r="F10" s="16">
        <f>IF('入力'!$G$25&gt;0,'入力'!$B$25,0)</f>
        <v/>
      </c>
      <c r="G10" s="16">
        <f>IF('入力'!$H$25&gt;0,'入力'!$B$25,0)</f>
        <v/>
      </c>
      <c r="H10" s="16">
        <f>'入力'!$B$25*'入力'!$F$25</f>
        <v/>
      </c>
      <c r="I10" s="16">
        <f>'入力'!$B$25*'入力'!$G$25</f>
        <v/>
      </c>
      <c r="J10" s="16">
        <f>'入力'!$B$25*'入力'!$H$25</f>
        <v/>
      </c>
    </row>
    <row r="11">
      <c r="A11" s="4" t="inlineStr">
        <is>
          <t>その他の配信中(変更なし)</t>
        </is>
      </c>
      <c r="B11" s="4">
        <f>'入力'!$F$26</f>
        <v/>
      </c>
      <c r="C11" s="4">
        <f>'入力'!$G$26</f>
        <v/>
      </c>
      <c r="D11" s="4">
        <f>'入力'!$H$26</f>
        <v/>
      </c>
      <c r="E11" s="16">
        <f>IF('入力'!$F$26&gt;0,'入力'!$B$26,0)</f>
        <v/>
      </c>
      <c r="F11" s="16">
        <f>IF('入力'!$G$26&gt;0,'入力'!$B$26,0)</f>
        <v/>
      </c>
      <c r="G11" s="16">
        <f>IF('入力'!$H$26&gt;0,'入力'!$B$26,0)</f>
        <v/>
      </c>
      <c r="H11" s="16">
        <f>'入力'!$B$26*'入力'!$F$26</f>
        <v/>
      </c>
      <c r="I11" s="16">
        <f>'入力'!$B$26*'入力'!$G$26</f>
        <v/>
      </c>
      <c r="J11" s="16">
        <f>'入力'!$B$26*'入力'!$H$26</f>
        <v/>
      </c>
    </row>
    <row r="12">
      <c r="A12" s="17" t="inlineStr">
        <is>
          <t>合計</t>
        </is>
      </c>
      <c r="E12" s="18">
        <f>SUM(E5:E11)</f>
        <v/>
      </c>
      <c r="F12" s="18">
        <f>SUM(F5:F11)</f>
        <v/>
      </c>
      <c r="G12" s="18">
        <f>SUM(G5:G11)</f>
        <v/>
      </c>
      <c r="H12" s="18">
        <f>SUM(H5:H11)</f>
        <v/>
      </c>
      <c r="I12" s="18">
        <f>SUM(I5:I11)</f>
        <v/>
      </c>
      <c r="J12" s="18">
        <f>SUM(J5:J11)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</cols>
  <sheetData>
    <row r="1">
      <c r="A1" s="1" t="inlineStr">
        <is>
          <t>④ 費用計算: 既読件数 = 医師数 × 年間配信回数 × 1配信あたり既読率 / 費用 = 既読件数 × 既読単価</t>
        </is>
      </c>
    </row>
    <row r="2">
      <c r="A2" s="2" t="inlineStr">
        <is>
          <t>現状費用は回答医師分(全医師10,000名では既読8,192件・327.7万円)。配信設定・運用・制作費は未確認(①で入力)</t>
        </is>
      </c>
    </row>
    <row r="5">
      <c r="A5" s="3" t="inlineStr">
        <is>
          <t>群</t>
        </is>
      </c>
      <c r="B5" s="3" t="inlineStr">
        <is>
          <t>既読件数_現状</t>
        </is>
      </c>
      <c r="C5" s="3" t="inlineStr">
        <is>
          <t>費用_現状</t>
        </is>
      </c>
      <c r="D5" s="3" t="inlineStr"/>
      <c r="E5" s="3" t="inlineStr">
        <is>
          <t>既読件数_A案</t>
        </is>
      </c>
      <c r="F5" s="3" t="inlineStr">
        <is>
          <t>既読件数_B案</t>
        </is>
      </c>
      <c r="G5" s="3" t="inlineStr"/>
      <c r="H5" s="3" t="inlineStr">
        <is>
          <t>費用_A案</t>
        </is>
      </c>
      <c r="I5" s="3" t="inlineStr">
        <is>
          <t>費用_B案</t>
        </is>
      </c>
    </row>
    <row r="6">
      <c r="A6" s="4" t="inlineStr">
        <is>
          <t>接触不足型</t>
        </is>
      </c>
      <c r="B6" s="19">
        <f>'入力'!$B$20*'入力'!$F$20*'入力'!$D$20</f>
        <v/>
      </c>
      <c r="C6" s="16">
        <f>B6*unit_price</f>
        <v/>
      </c>
      <c r="E6" s="19">
        <f>'入力'!$B$20*'入力'!$G$20*'入力'!$D$20</f>
        <v/>
      </c>
      <c r="F6" s="19">
        <f>'入力'!$B$20*'入力'!$H$20*'入力'!$D$20</f>
        <v/>
      </c>
      <c r="H6" s="16">
        <f>E6*unit_price</f>
        <v/>
      </c>
      <c r="I6" s="16">
        <f>F6*unit_price</f>
        <v/>
      </c>
    </row>
    <row r="7">
      <c r="A7" s="4" t="inlineStr">
        <is>
          <t>理解不足型</t>
        </is>
      </c>
      <c r="B7" s="19">
        <f>'入力'!$B$21*'入力'!$F$21*'入力'!$D$21</f>
        <v/>
      </c>
      <c r="C7" s="16">
        <f>B7*unit_price</f>
        <v/>
      </c>
      <c r="E7" s="19">
        <f>'入力'!$B$21*'入力'!$G$21*'入力'!$D$21</f>
        <v/>
      </c>
      <c r="F7" s="19">
        <f>'入力'!$B$21*'入力'!$H$21*'入力'!$D$21</f>
        <v/>
      </c>
      <c r="H7" s="16">
        <f>E7*unit_price</f>
        <v/>
      </c>
      <c r="I7" s="16">
        <f>F7*unit_price</f>
        <v/>
      </c>
    </row>
    <row r="8">
      <c r="A8" s="4" t="inlineStr">
        <is>
          <t>意向ギャップ型</t>
        </is>
      </c>
      <c r="B8" s="19">
        <f>'入力'!$B$22*'入力'!$F$22*'入力'!$D$22</f>
        <v/>
      </c>
      <c r="C8" s="16">
        <f>B8*unit_price</f>
        <v/>
      </c>
      <c r="E8" s="19">
        <f>'入力'!$B$22*'入力'!$G$22*'入力'!$D$22</f>
        <v/>
      </c>
      <c r="F8" s="19">
        <f>'入力'!$B$22*'入力'!$H$22*'入力'!$D$22</f>
        <v/>
      </c>
      <c r="H8" s="16">
        <f>E8*unit_price</f>
        <v/>
      </c>
      <c r="I8" s="16">
        <f>F8*unit_price</f>
        <v/>
      </c>
    </row>
    <row r="9">
      <c r="A9" s="4" t="inlineStr">
        <is>
          <t>MR面談フォロー型(配信中)</t>
        </is>
      </c>
      <c r="B9" s="19">
        <f>'入力'!$B$23*'入力'!$F$23*'入力'!$D$23</f>
        <v/>
      </c>
      <c r="C9" s="16">
        <f>B9*unit_price</f>
        <v/>
      </c>
      <c r="E9" s="19">
        <f>'入力'!$B$23*'入力'!$G$23*'入力'!$D$23</f>
        <v/>
      </c>
      <c r="F9" s="19">
        <f>'入力'!$B$23*'入力'!$H$23*'入力'!$D$23</f>
        <v/>
      </c>
      <c r="H9" s="16">
        <f>E9*unit_price</f>
        <v/>
      </c>
      <c r="I9" s="16">
        <f>F9*unit_price</f>
        <v/>
      </c>
    </row>
    <row r="10">
      <c r="A10" s="4" t="inlineStr">
        <is>
          <t>未接触×潜在5〜7人</t>
        </is>
      </c>
      <c r="B10" s="19">
        <f>'入力'!$B$24*'入力'!$F$24*'入力'!$D$24</f>
        <v/>
      </c>
      <c r="C10" s="16">
        <f>B10*unit_price</f>
        <v/>
      </c>
      <c r="E10" s="19">
        <f>'入力'!$B$24*'入力'!$G$24*'入力'!$D$24</f>
        <v/>
      </c>
      <c r="F10" s="19">
        <f>'入力'!$B$24*'入力'!$H$24*'入力'!$D$24</f>
        <v/>
      </c>
      <c r="H10" s="16">
        <f>E10*unit_price</f>
        <v/>
      </c>
      <c r="I10" s="16">
        <f>F10*unit_price</f>
        <v/>
      </c>
    </row>
    <row r="11">
      <c r="A11" s="4" t="inlineStr">
        <is>
          <t>低優先(配信中×潜在0〜2人)</t>
        </is>
      </c>
      <c r="B11" s="19">
        <f>'入力'!$B$25*'入力'!$F$25*'入力'!$D$25</f>
        <v/>
      </c>
      <c r="C11" s="16">
        <f>B11*unit_price</f>
        <v/>
      </c>
      <c r="E11" s="19">
        <f>'入力'!$B$25*'入力'!$G$25*'入力'!$D$25</f>
        <v/>
      </c>
      <c r="F11" s="19">
        <f>'入力'!$B$25*'入力'!$H$25*'入力'!$D$25</f>
        <v/>
      </c>
      <c r="H11" s="16">
        <f>E11*unit_price</f>
        <v/>
      </c>
      <c r="I11" s="16">
        <f>F11*unit_price</f>
        <v/>
      </c>
    </row>
    <row r="12">
      <c r="A12" s="4" t="inlineStr">
        <is>
          <t>その他の配信中(変更なし)</t>
        </is>
      </c>
      <c r="B12" s="19">
        <f>'入力'!$B$26*'入力'!$F$26*'入力'!$D$26</f>
        <v/>
      </c>
      <c r="C12" s="16">
        <f>B12*unit_price</f>
        <v/>
      </c>
      <c r="E12" s="19">
        <f>'入力'!$B$26*'入力'!$G$26*'入力'!$D$26</f>
        <v/>
      </c>
      <c r="F12" s="19">
        <f>'入力'!$B$26*'入力'!$H$26*'入力'!$D$26</f>
        <v/>
      </c>
      <c r="H12" s="16">
        <f>E12*unit_price</f>
        <v/>
      </c>
      <c r="I12" s="16">
        <f>F12*unit_price</f>
        <v/>
      </c>
    </row>
    <row r="13">
      <c r="A13" s="17" t="inlineStr">
        <is>
          <t>既読費用 合計</t>
        </is>
      </c>
      <c r="B13" s="18">
        <f>SUM(B6:B12)</f>
        <v/>
      </c>
      <c r="C13" s="18">
        <f>SUM(C6:C12)</f>
        <v/>
      </c>
      <c r="E13" s="18">
        <f>SUM(E6:E12)</f>
        <v/>
      </c>
      <c r="F13" s="18">
        <f>SUM(F6:F12)</f>
        <v/>
      </c>
      <c r="H13" s="18">
        <f>SUM(H6:H12)</f>
        <v/>
      </c>
      <c r="I13" s="18">
        <f>SUM(I6:I12)</f>
        <v/>
      </c>
    </row>
    <row r="14">
      <c r="A14" s="4" t="inlineStr">
        <is>
          <t>制作費・運用費(未確認)</t>
        </is>
      </c>
      <c r="C14" s="16" t="n">
        <v>0</v>
      </c>
      <c r="H14" s="16">
        <f>prod_cost+ops_cost</f>
        <v/>
      </c>
      <c r="I14" s="16">
        <f>prod_cost+ops_cost</f>
        <v/>
      </c>
    </row>
    <row r="15">
      <c r="A15" s="17" t="inlineStr">
        <is>
          <t>総費用</t>
        </is>
      </c>
      <c r="C15" s="18">
        <f>C13+C14</f>
        <v/>
      </c>
      <c r="H15" s="18">
        <f>H13+H14</f>
        <v/>
      </c>
      <c r="I15" s="18">
        <f>I13+I14</f>
        <v/>
      </c>
    </row>
    <row r="16">
      <c r="A16" s="17" t="inlineStr">
        <is>
          <t>現状からの追加費用</t>
        </is>
      </c>
      <c r="H16" s="18">
        <f>H15-C15</f>
        <v/>
      </c>
      <c r="I16" s="18">
        <f>I15-C15</f>
        <v/>
      </c>
    </row>
    <row r="17">
      <c r="A17" s="17" t="inlineStr">
        <is>
          <t>予算判定(A案は現状費用以内か)</t>
        </is>
      </c>
      <c r="H17" s="17">
        <f>IF(H15&lt;=C15,"予算内","予算超過")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⑤ 売上試算: 既読医師率(f回) = 1 −(1 − 10回時の既読医師率)^(f/10) / 追加処方患者 = 既読医師の増加 × 1人あたり潜在未処方 × 増分転換率</t>
        </is>
      </c>
    </row>
    <row r="2">
      <c r="A2" s="2" t="inlineStr">
        <is>
          <t>施策をしなくても起きる変化は含めない(現状との差のみ)。各医師は1つの群にだけ属するため、効果の二重計上はない。売上であり利益ではない</t>
        </is>
      </c>
    </row>
    <row r="3">
      <c r="H3" s="20" t="inlineStr">
        <is>
          <t>追加処方患者(人)</t>
        </is>
      </c>
    </row>
    <row r="4">
      <c r="A4" s="3" t="inlineStr">
        <is>
          <t>群</t>
        </is>
      </c>
      <c r="B4" s="3" t="inlineStr">
        <is>
          <t>1人あたり潜在未処方</t>
        </is>
      </c>
      <c r="C4" s="3" t="inlineStr">
        <is>
          <t>既読医師率_現状</t>
        </is>
      </c>
      <c r="D4" s="3" t="inlineStr">
        <is>
          <t>既読医師率_A案</t>
        </is>
      </c>
      <c r="E4" s="3" t="inlineStr">
        <is>
          <t>既読医師率_B案</t>
        </is>
      </c>
      <c r="F4" s="3" t="inlineStr">
        <is>
          <t>既読医師の増加_A案</t>
        </is>
      </c>
      <c r="G4" s="3" t="inlineStr">
        <is>
          <t>既読医師の増加_B案</t>
        </is>
      </c>
      <c r="H4" s="3" t="inlineStr">
        <is>
          <t>A案_保守</t>
        </is>
      </c>
      <c r="I4" s="3" t="inlineStr">
        <is>
          <t>A案_基準</t>
        </is>
      </c>
      <c r="J4" s="3" t="inlineStr">
        <is>
          <t>A案_楽観</t>
        </is>
      </c>
      <c r="K4" s="3" t="inlineStr">
        <is>
          <t>B案_保守</t>
        </is>
      </c>
      <c r="L4" s="3" t="inlineStr">
        <is>
          <t>B案_基準</t>
        </is>
      </c>
      <c r="M4" s="3" t="inlineStr">
        <is>
          <t>B案_楽観</t>
        </is>
      </c>
    </row>
    <row r="5">
      <c r="A5" s="4" t="inlineStr">
        <is>
          <t>接触不足型</t>
        </is>
      </c>
      <c r="B5" s="21">
        <f>'入力'!$C$20/'入力'!$B$20</f>
        <v/>
      </c>
      <c r="C5" s="22">
        <f>IF(OR('入力'!$E$20="",'入力'!$F$20=0),0,1-(1-'入力'!$E$20)^('入力'!$F$20/10))</f>
        <v/>
      </c>
      <c r="D5" s="22">
        <f>IF(OR('入力'!$E$20="",'入力'!$G$20=0),0,1-(1-'入力'!$E$20)^('入力'!$G$20/10))</f>
        <v/>
      </c>
      <c r="E5" s="22">
        <f>IF(OR('入力'!$E$20="",'入力'!$H$20=0),0,1-(1-'入力'!$E$20)^('入力'!$H$20/10))</f>
        <v/>
      </c>
      <c r="F5" s="19">
        <f>IF('入力'!$E$20="",0,'入力'!$B$20*(D5-C5))</f>
        <v/>
      </c>
      <c r="G5" s="19">
        <f>IF('入力'!$E$20="",0,'入力'!$B$20*(E5-C5))</f>
        <v/>
      </c>
      <c r="H5" s="19">
        <f>F5*B5*conv_low</f>
        <v/>
      </c>
      <c r="I5" s="19">
        <f>F5*B5*conv_base</f>
        <v/>
      </c>
      <c r="J5" s="19">
        <f>F5*B5*conv_high</f>
        <v/>
      </c>
      <c r="K5" s="19">
        <f>G5*B5*conv_low</f>
        <v/>
      </c>
      <c r="L5" s="19">
        <f>G5*B5*conv_base</f>
        <v/>
      </c>
      <c r="M5" s="19">
        <f>G5*B5*conv_high</f>
        <v/>
      </c>
    </row>
    <row r="6">
      <c r="A6" s="4" t="inlineStr">
        <is>
          <t>理解不足型</t>
        </is>
      </c>
      <c r="B6" s="21">
        <f>'入力'!$C$21/'入力'!$B$21</f>
        <v/>
      </c>
      <c r="C6" s="22">
        <f>IF(OR('入力'!$E$21="",'入力'!$F$21=0),0,1-(1-'入力'!$E$21)^('入力'!$F$21/10))</f>
        <v/>
      </c>
      <c r="D6" s="22">
        <f>IF(OR('入力'!$E$21="",'入力'!$G$21=0),0,1-(1-'入力'!$E$21)^('入力'!$G$21/10))</f>
        <v/>
      </c>
      <c r="E6" s="22">
        <f>IF(OR('入力'!$E$21="",'入力'!$H$21=0),0,1-(1-'入力'!$E$21)^('入力'!$H$21/10))</f>
        <v/>
      </c>
      <c r="F6" s="19">
        <f>IF('入力'!$E$21="",0,'入力'!$B$21*(D6-C6))</f>
        <v/>
      </c>
      <c r="G6" s="19">
        <f>IF('入力'!$E$21="",0,'入力'!$B$21*(E6-C6))</f>
        <v/>
      </c>
      <c r="H6" s="19">
        <f>F6*B6*conv_low</f>
        <v/>
      </c>
      <c r="I6" s="19">
        <f>F6*B6*conv_base</f>
        <v/>
      </c>
      <c r="J6" s="19">
        <f>F6*B6*conv_high</f>
        <v/>
      </c>
      <c r="K6" s="19">
        <f>G6*B6*conv_low</f>
        <v/>
      </c>
      <c r="L6" s="19">
        <f>G6*B6*conv_base</f>
        <v/>
      </c>
      <c r="M6" s="19">
        <f>G6*B6*conv_high</f>
        <v/>
      </c>
    </row>
    <row r="7">
      <c r="A7" s="4" t="inlineStr">
        <is>
          <t>意向ギャップ型</t>
        </is>
      </c>
      <c r="B7" s="21">
        <f>'入力'!$C$22/'入力'!$B$22</f>
        <v/>
      </c>
      <c r="C7" s="22">
        <f>IF(OR('入力'!$E$22="",'入力'!$F$22=0),0,1-(1-'入力'!$E$22)^('入力'!$F$22/10))</f>
        <v/>
      </c>
      <c r="D7" s="22">
        <f>IF(OR('入力'!$E$22="",'入力'!$G$22=0),0,1-(1-'入力'!$E$22)^('入力'!$G$22/10))</f>
        <v/>
      </c>
      <c r="E7" s="22">
        <f>IF(OR('入力'!$E$22="",'入力'!$H$22=0),0,1-(1-'入力'!$E$22)^('入力'!$H$22/10))</f>
        <v/>
      </c>
      <c r="F7" s="19">
        <f>IF('入力'!$E$22="",0,'入力'!$B$22*(D7-C7))</f>
        <v/>
      </c>
      <c r="G7" s="19">
        <f>IF('入力'!$E$22="",0,'入力'!$B$22*(E7-C7))</f>
        <v/>
      </c>
      <c r="H7" s="19">
        <f>F7*B7*conv_low</f>
        <v/>
      </c>
      <c r="I7" s="19">
        <f>F7*B7*conv_base</f>
        <v/>
      </c>
      <c r="J7" s="19">
        <f>F7*B7*conv_high</f>
        <v/>
      </c>
      <c r="K7" s="19">
        <f>G7*B7*conv_low</f>
        <v/>
      </c>
      <c r="L7" s="19">
        <f>G7*B7*conv_base</f>
        <v/>
      </c>
      <c r="M7" s="19">
        <f>G7*B7*conv_high</f>
        <v/>
      </c>
    </row>
    <row r="8">
      <c r="A8" s="4" t="inlineStr">
        <is>
          <t>MR面談フォロー型(配信中)</t>
        </is>
      </c>
      <c r="B8" s="21">
        <f>'入力'!$C$23/'入力'!$B$23</f>
        <v/>
      </c>
      <c r="C8" s="22">
        <f>IF(OR('入力'!$E$23="",'入力'!$F$23=0),0,1-(1-'入力'!$E$23)^('入力'!$F$23/10))</f>
        <v/>
      </c>
      <c r="D8" s="22">
        <f>IF(OR('入力'!$E$23="",'入力'!$G$23=0),0,1-(1-'入力'!$E$23)^('入力'!$G$23/10))</f>
        <v/>
      </c>
      <c r="E8" s="22">
        <f>IF(OR('入力'!$E$23="",'入力'!$H$23=0),0,1-(1-'入力'!$E$23)^('入力'!$H$23/10))</f>
        <v/>
      </c>
      <c r="F8" s="19">
        <f>IF('入力'!$E$23="",0,'入力'!$B$23*(D8-C8))</f>
        <v/>
      </c>
      <c r="G8" s="19">
        <f>IF('入力'!$E$23="",0,'入力'!$B$23*(E8-C8))</f>
        <v/>
      </c>
      <c r="H8" s="19">
        <f>F8*B8*conv_low</f>
        <v/>
      </c>
      <c r="I8" s="19">
        <f>F8*B8*conv_base</f>
        <v/>
      </c>
      <c r="J8" s="19">
        <f>F8*B8*conv_high</f>
        <v/>
      </c>
      <c r="K8" s="19">
        <f>G8*B8*conv_low</f>
        <v/>
      </c>
      <c r="L8" s="19">
        <f>G8*B8*conv_base</f>
        <v/>
      </c>
      <c r="M8" s="19">
        <f>G8*B8*conv_high</f>
        <v/>
      </c>
    </row>
    <row r="9">
      <c r="A9" s="4" t="inlineStr">
        <is>
          <t>未接触×潜在5〜7人</t>
        </is>
      </c>
      <c r="B9" s="21">
        <f>'入力'!$C$24/'入力'!$B$24</f>
        <v/>
      </c>
      <c r="C9" s="22">
        <f>IF(OR('入力'!$E$24="",'入力'!$F$24=0),0,1-(1-'入力'!$E$24)^('入力'!$F$24/10))</f>
        <v/>
      </c>
      <c r="D9" s="22">
        <f>IF(OR('入力'!$E$24="",'入力'!$G$24=0),0,1-(1-'入力'!$E$24)^('入力'!$G$24/10))</f>
        <v/>
      </c>
      <c r="E9" s="22">
        <f>IF(OR('入力'!$E$24="",'入力'!$H$24=0),0,1-(1-'入力'!$E$24)^('入力'!$H$24/10))</f>
        <v/>
      </c>
      <c r="F9" s="19">
        <f>IF('入力'!$E$24="",0,'入力'!$B$24*(D9-C9))</f>
        <v/>
      </c>
      <c r="G9" s="19">
        <f>IF('入力'!$E$24="",0,'入力'!$B$24*(E9-C9))</f>
        <v/>
      </c>
      <c r="H9" s="19">
        <f>F9*B9*conv_low</f>
        <v/>
      </c>
      <c r="I9" s="19">
        <f>F9*B9*conv_base</f>
        <v/>
      </c>
      <c r="J9" s="19">
        <f>F9*B9*conv_high</f>
        <v/>
      </c>
      <c r="K9" s="19">
        <f>G9*B9*conv_low</f>
        <v/>
      </c>
      <c r="L9" s="19">
        <f>G9*B9*conv_base</f>
        <v/>
      </c>
      <c r="M9" s="19">
        <f>G9*B9*conv_high</f>
        <v/>
      </c>
    </row>
    <row r="10">
      <c r="A10" s="4" t="inlineStr">
        <is>
          <t>低優先(配信中×潜在0〜2人)</t>
        </is>
      </c>
      <c r="B10" s="21">
        <f>'入力'!$C$25/'入力'!$B$25</f>
        <v/>
      </c>
      <c r="C10" s="22">
        <f>IF(OR('入力'!$E$25="",'入力'!$F$25=0),0,1-(1-'入力'!$E$25)^('入力'!$F$25/10))</f>
        <v/>
      </c>
      <c r="D10" s="22">
        <f>IF(OR('入力'!$E$25="",'入力'!$G$25=0),0,1-(1-'入力'!$E$25)^('入力'!$G$25/10))</f>
        <v/>
      </c>
      <c r="E10" s="22">
        <f>IF(OR('入力'!$E$25="",'入力'!$H$25=0),0,1-(1-'入力'!$E$25)^('入力'!$H$25/10))</f>
        <v/>
      </c>
      <c r="F10" s="19">
        <f>IF('入力'!$E$25="",0,'入力'!$B$25*(D10-C10))</f>
        <v/>
      </c>
      <c r="G10" s="19">
        <f>IF('入力'!$E$25="",0,'入力'!$B$25*(E10-C10))</f>
        <v/>
      </c>
      <c r="H10" s="19">
        <f>F10*B10*conv_low</f>
        <v/>
      </c>
      <c r="I10" s="19">
        <f>F10*B10*conv_base</f>
        <v/>
      </c>
      <c r="J10" s="19">
        <f>F10*B10*conv_high</f>
        <v/>
      </c>
      <c r="K10" s="19">
        <f>G10*B10*conv_low</f>
        <v/>
      </c>
      <c r="L10" s="19">
        <f>G10*B10*conv_base</f>
        <v/>
      </c>
      <c r="M10" s="19">
        <f>G10*B10*conv_high</f>
        <v/>
      </c>
    </row>
    <row r="11">
      <c r="A11" s="4" t="inlineStr">
        <is>
          <t>その他の配信中(変更なし)</t>
        </is>
      </c>
      <c r="B11" s="21">
        <f>'入力'!$C$26/'入力'!$B$26</f>
        <v/>
      </c>
      <c r="C11" s="22">
        <f>IF(OR('入力'!$E$26="",'入力'!$F$26=0),0,1-(1-'入力'!$E$26)^('入力'!$F$26/10))</f>
        <v/>
      </c>
      <c r="D11" s="22">
        <f>IF(OR('入力'!$E$26="",'入力'!$G$26=0),0,1-(1-'入力'!$E$26)^('入力'!$G$26/10))</f>
        <v/>
      </c>
      <c r="E11" s="22">
        <f>IF(OR('入力'!$E$26="",'入力'!$H$26=0),0,1-(1-'入力'!$E$26)^('入力'!$H$26/10))</f>
        <v/>
      </c>
      <c r="F11" s="19">
        <f>IF('入力'!$E$26="",0,'入力'!$B$26*(D11-C11))</f>
        <v/>
      </c>
      <c r="G11" s="19">
        <f>IF('入力'!$E$26="",0,'入力'!$B$26*(E11-C11))</f>
        <v/>
      </c>
      <c r="H11" s="19">
        <f>F11*B11*conv_low</f>
        <v/>
      </c>
      <c r="I11" s="19">
        <f>F11*B11*conv_base</f>
        <v/>
      </c>
      <c r="J11" s="19">
        <f>F11*B11*conv_high</f>
        <v/>
      </c>
      <c r="K11" s="19">
        <f>G11*B11*conv_low</f>
        <v/>
      </c>
      <c r="L11" s="19">
        <f>G11*B11*conv_base</f>
        <v/>
      </c>
      <c r="M11" s="19">
        <f>G11*B11*conv_high</f>
        <v/>
      </c>
    </row>
    <row r="12">
      <c r="A12" s="17" t="inlineStr">
        <is>
          <t>追加処方患者 合計</t>
        </is>
      </c>
      <c r="F12" s="23">
        <f>SUM(F5:F11)</f>
        <v/>
      </c>
      <c r="G12" s="23">
        <f>SUM(G5:G11)</f>
        <v/>
      </c>
      <c r="H12" s="23">
        <f>SUM(H5:H11)</f>
        <v/>
      </c>
      <c r="I12" s="23">
        <f>SUM(I5:I11)</f>
        <v/>
      </c>
      <c r="J12" s="23">
        <f>SUM(J5:J11)</f>
        <v/>
      </c>
      <c r="K12" s="23">
        <f>SUM(K5:K11)</f>
        <v/>
      </c>
      <c r="L12" s="23">
        <f>SUM(L5:L11)</f>
        <v/>
      </c>
      <c r="M12" s="23">
        <f>SUM(M5:M11)</f>
        <v/>
      </c>
    </row>
    <row r="13">
      <c r="A13" s="17" t="inlineStr">
        <is>
          <t>追加売上(円) = 追加処方患者 × 処方患者1人あたり年間売上</t>
        </is>
      </c>
      <c r="H13" s="18">
        <f>H12*sales_per_pt</f>
        <v/>
      </c>
      <c r="I13" s="18">
        <f>I12*sales_per_pt</f>
        <v/>
      </c>
      <c r="J13" s="18">
        <f>J12*sales_per_pt</f>
        <v/>
      </c>
      <c r="K13" s="18">
        <f>K12*sales_per_pt</f>
        <v/>
      </c>
      <c r="L13" s="18">
        <f>L12*sales_per_pt</f>
        <v/>
      </c>
      <c r="M13" s="18">
        <f>M12*sales_per_pt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⑥ シナリオ比較: A案(予算維持型)とB案(追加投資型)</t>
        </is>
      </c>
    </row>
    <row r="2">
      <c r="A2" s="2" t="inlineStr">
        <is>
          <t>A案: 低優先(潜在0〜2人)の配信を年10回→6回に減らし、接触不足型を新規配信・理解不足型を年12回・意向ギャップ型を年24回に。B案: A案+未接触×潜在5〜7人260名を新規配信(年12回)</t>
        </is>
      </c>
    </row>
    <row r="4">
      <c r="A4" s="3" t="inlineStr">
        <is>
          <t>項目</t>
        </is>
      </c>
      <c r="B4" s="3" t="inlineStr">
        <is>
          <t>現状</t>
        </is>
      </c>
      <c r="C4" s="3" t="inlineStr">
        <is>
          <t>A案 予算維持型</t>
        </is>
      </c>
      <c r="D4" s="3" t="inlineStr">
        <is>
          <t>B案 追加投資型</t>
        </is>
      </c>
      <c r="E4" s="3" t="inlineStr">
        <is>
          <t>B案 − A案</t>
        </is>
      </c>
    </row>
    <row r="5">
      <c r="A5" s="4" t="inlineStr">
        <is>
          <t>配信対象医師数(名)</t>
        </is>
      </c>
      <c r="B5" s="16">
        <f>'③配信計画'!E12</f>
        <v/>
      </c>
      <c r="C5" s="16">
        <f>'③配信計画'!F12</f>
        <v/>
      </c>
      <c r="D5" s="16">
        <f>'③配信計画'!G12</f>
        <v/>
      </c>
      <c r="E5" s="16">
        <f>D5-C5</f>
        <v/>
      </c>
    </row>
    <row r="6">
      <c r="A6" s="4" t="inlineStr">
        <is>
          <t>配信件数(件)</t>
        </is>
      </c>
      <c r="B6" s="16">
        <f>'③配信計画'!H12</f>
        <v/>
      </c>
      <c r="C6" s="16">
        <f>'③配信計画'!I12</f>
        <v/>
      </c>
      <c r="D6" s="16">
        <f>'③配信計画'!J12</f>
        <v/>
      </c>
      <c r="E6" s="16">
        <f>D6-C6</f>
        <v/>
      </c>
    </row>
    <row r="7">
      <c r="A7" s="4" t="inlineStr">
        <is>
          <t>想定既読件数(件)</t>
        </is>
      </c>
      <c r="B7" s="16">
        <f>'④費用計算'!B13</f>
        <v/>
      </c>
      <c r="C7" s="16">
        <f>'④費用計算'!E13</f>
        <v/>
      </c>
      <c r="D7" s="16">
        <f>'④費用計算'!F13</f>
        <v/>
      </c>
      <c r="E7" s="16">
        <f>D7-C7</f>
        <v/>
      </c>
    </row>
    <row r="8">
      <c r="A8" s="4" t="inlineStr">
        <is>
          <t>費用(円)</t>
        </is>
      </c>
      <c r="B8" s="16">
        <f>'④費用計算'!C15</f>
        <v/>
      </c>
      <c r="C8" s="16">
        <f>'④費用計算'!H15</f>
        <v/>
      </c>
      <c r="D8" s="16">
        <f>'④費用計算'!I15</f>
        <v/>
      </c>
      <c r="E8" s="16">
        <f>D8-C8</f>
        <v/>
      </c>
    </row>
    <row r="9">
      <c r="A9" s="4" t="inlineStr">
        <is>
          <t>現状からの追加費用(円)</t>
        </is>
      </c>
      <c r="B9" s="16" t="n">
        <v>0</v>
      </c>
      <c r="C9" s="16">
        <f>C8-$B$8</f>
        <v/>
      </c>
      <c r="D9" s="16">
        <f>D8-$B$8</f>
        <v/>
      </c>
      <c r="E9" s="16">
        <f>D9-C9</f>
        <v/>
      </c>
    </row>
    <row r="10">
      <c r="A10" s="4" t="inlineStr">
        <is>
          <t>潜在患者カバー数(人)</t>
        </is>
      </c>
      <c r="B10" s="16">
        <f>SUMPRODUCT(('入力'!$F$20:$F$26&gt;0)*'入力'!$C$20:$C$26)</f>
        <v/>
      </c>
      <c r="C10" s="16">
        <f>SUMPRODUCT(('入力'!$G$20:$G$26&gt;0)*'入力'!$C$20:$C$26)</f>
        <v/>
      </c>
      <c r="D10" s="16">
        <f>SUMPRODUCT(('入力'!$H$20:$H$26&gt;0)*'入力'!$C$20:$C$26)</f>
        <v/>
      </c>
      <c r="E10" s="16">
        <f>D10-C10</f>
        <v/>
      </c>
    </row>
    <row r="11">
      <c r="A11" s="4" t="inlineStr">
        <is>
          <t>追加処方患者_保守(人)</t>
        </is>
      </c>
      <c r="B11" s="19" t="n">
        <v>0</v>
      </c>
      <c r="C11" s="19">
        <f>'⑤売上試算'!H12</f>
        <v/>
      </c>
      <c r="D11" s="19">
        <f>'⑤売上試算'!K12</f>
        <v/>
      </c>
      <c r="E11" s="19">
        <f>D11-C11</f>
        <v/>
      </c>
    </row>
    <row r="12">
      <c r="A12" s="4" t="inlineStr">
        <is>
          <t>追加処方患者_基準(人)</t>
        </is>
      </c>
      <c r="B12" s="19" t="n">
        <v>0</v>
      </c>
      <c r="C12" s="19">
        <f>'⑤売上試算'!I12</f>
        <v/>
      </c>
      <c r="D12" s="19">
        <f>'⑤売上試算'!L12</f>
        <v/>
      </c>
      <c r="E12" s="19">
        <f>D12-C12</f>
        <v/>
      </c>
    </row>
    <row r="13">
      <c r="A13" s="4" t="inlineStr">
        <is>
          <t>追加処方患者_楽観(人)</t>
        </is>
      </c>
      <c r="B13" s="19" t="n">
        <v>0</v>
      </c>
      <c r="C13" s="19">
        <f>'⑤売上試算'!J12</f>
        <v/>
      </c>
      <c r="D13" s="19">
        <f>'⑤売上試算'!M12</f>
        <v/>
      </c>
      <c r="E13" s="19">
        <f>D13-C13</f>
        <v/>
      </c>
    </row>
    <row r="14">
      <c r="A14" s="4" t="inlineStr">
        <is>
          <t>追加売上_保守(円)</t>
        </is>
      </c>
      <c r="B14" s="16" t="n">
        <v>0</v>
      </c>
      <c r="C14" s="16">
        <f>'⑤売上試算'!H13</f>
        <v/>
      </c>
      <c r="D14" s="16">
        <f>'⑤売上試算'!K13</f>
        <v/>
      </c>
      <c r="E14" s="16">
        <f>D14-C14</f>
        <v/>
      </c>
    </row>
    <row r="15">
      <c r="A15" s="4" t="inlineStr">
        <is>
          <t>追加売上_基準(円)</t>
        </is>
      </c>
      <c r="B15" s="16" t="n">
        <v>0</v>
      </c>
      <c r="C15" s="16">
        <f>'⑤売上試算'!I13</f>
        <v/>
      </c>
      <c r="D15" s="16">
        <f>'⑤売上試算'!L13</f>
        <v/>
      </c>
      <c r="E15" s="16">
        <f>D15-C15</f>
        <v/>
      </c>
    </row>
    <row r="16">
      <c r="A16" s="4" t="inlineStr">
        <is>
          <t>追加売上_楽観(円)</t>
        </is>
      </c>
      <c r="B16" s="16" t="n">
        <v>0</v>
      </c>
      <c r="C16" s="16">
        <f>'⑤売上試算'!J13</f>
        <v/>
      </c>
      <c r="D16" s="16">
        <f>'⑤売上試算'!M13</f>
        <v/>
      </c>
      <c r="E16" s="16">
        <f>D16-C16</f>
        <v/>
      </c>
    </row>
    <row r="17">
      <c r="A17" s="17" t="inlineStr">
        <is>
          <t>費用対効果(追加売上_基準 ÷ 追加費用)</t>
        </is>
      </c>
      <c r="C17" s="24">
        <f>IF(C9&lt;=0,"追加費用なし",C15/C9)</f>
        <v/>
      </c>
      <c r="D17" s="24">
        <f>IF(D9&lt;=0,"追加費用なし",D15/D9)</f>
        <v/>
      </c>
      <c r="E17" s="24">
        <f>IF(E9&lt;=0,"",E15/E9)</f>
        <v/>
      </c>
    </row>
    <row r="18">
      <c r="A18" s="17" t="inlineStr">
        <is>
          <t>費用回収に必要な利益率_保守(追加費用÷追加売上)</t>
        </is>
      </c>
      <c r="C18" s="22">
        <f>IF(C9&lt;=0,"不要",C9/C14)</f>
        <v/>
      </c>
      <c r="D18" s="22">
        <f>IF(D9&lt;=0,"不要",D9/D14)</f>
        <v/>
      </c>
      <c r="E18" s="22">
        <f>IF(E9&lt;=0,"",E9/E14)</f>
        <v/>
      </c>
    </row>
    <row r="19">
      <c r="A19" s="17" t="inlineStr">
        <is>
          <t>費用回収に必要な利益率_基準</t>
        </is>
      </c>
      <c r="C19" s="22">
        <f>IF(C9&lt;=0,"不要",C9/C15)</f>
        <v/>
      </c>
      <c r="D19" s="22">
        <f>IF(D9&lt;=0,"不要",D9/D15)</f>
        <v/>
      </c>
      <c r="E19" s="22">
        <f>IF(E9&lt;=0,"",E9/E15)</f>
        <v/>
      </c>
    </row>
    <row r="20">
      <c r="A20" s="17" t="inlineStr">
        <is>
          <t>予算判定(A案)</t>
        </is>
      </c>
      <c r="C20" s="4">
        <f>IF(C8&lt;=B8,"予算内","予算超過")</f>
        <v/>
      </c>
    </row>
    <row r="22">
      <c r="A22" s="25" t="inlineStr">
        <is>
          <t>表示用(PPTと同じ丸め)</t>
        </is>
      </c>
      <c r="B22" s="25" t="inlineStr">
        <is>
          <t>現状</t>
        </is>
      </c>
      <c r="C22" s="25" t="inlineStr">
        <is>
          <t>A案</t>
        </is>
      </c>
      <c r="D22" s="25" t="inlineStr">
        <is>
          <t>B案</t>
        </is>
      </c>
      <c r="E22" s="25" t="inlineStr">
        <is>
          <t>B案 − A案</t>
        </is>
      </c>
    </row>
    <row r="23">
      <c r="A23" s="4" t="inlineStr">
        <is>
          <t>費用(万円、小数1桁)</t>
        </is>
      </c>
      <c r="B23" s="4">
        <f>ROUND(B8/10000,1)</f>
        <v/>
      </c>
      <c r="C23" s="4">
        <f>ROUND(C8/10000,1)</f>
        <v/>
      </c>
      <c r="D23" s="4">
        <f>ROUND(D8/10000,1)</f>
        <v/>
      </c>
      <c r="E23" s="4">
        <f>ROUND(D8/10000,1)-ROUND(C8/10000,1)</f>
        <v/>
      </c>
    </row>
    <row r="24">
      <c r="A24" s="4" t="inlineStr">
        <is>
          <t>追加費用(万円、小数1桁)</t>
        </is>
      </c>
      <c r="B24" s="4">
        <f>ROUND(B9/10000,1)</f>
        <v/>
      </c>
      <c r="C24" s="4">
        <f>ROUND(C9/10000,1)</f>
        <v/>
      </c>
      <c r="D24" s="4">
        <f>ROUND(D9/10000,1)</f>
        <v/>
      </c>
      <c r="E24" s="4">
        <f>ROUND(D9/10000,1)-ROUND(C9/10000,1)</f>
        <v/>
      </c>
    </row>
    <row r="25">
      <c r="A25" s="4" t="inlineStr">
        <is>
          <t>既読件数</t>
        </is>
      </c>
      <c r="B25" s="4">
        <f>ROUND(B7,0)</f>
        <v/>
      </c>
      <c r="C25" s="4">
        <f>ROUND(C7,0)</f>
        <v/>
      </c>
      <c r="D25" s="4">
        <f>ROUND(D7,0)</f>
        <v/>
      </c>
      <c r="E25" s="4">
        <f>ROUND(D7,0)-ROUND(C7,0)</f>
        <v/>
      </c>
    </row>
    <row r="26">
      <c r="A26" s="4" t="inlineStr">
        <is>
          <t>追加処方患者_保守</t>
        </is>
      </c>
      <c r="B26" s="4">
        <f>ROUND(B11,0)</f>
        <v/>
      </c>
      <c r="C26" s="4">
        <f>ROUND(C11,0)</f>
        <v/>
      </c>
      <c r="D26" s="4">
        <f>ROUND(D11,0)</f>
        <v/>
      </c>
      <c r="E26" s="4">
        <f>ROUND(E11,0)</f>
        <v/>
      </c>
    </row>
    <row r="27">
      <c r="A27" s="4" t="inlineStr">
        <is>
          <t>追加処方患者_基準</t>
        </is>
      </c>
      <c r="B27" s="4">
        <f>ROUND(B12,0)</f>
        <v/>
      </c>
      <c r="C27" s="4">
        <f>ROUND(C12,0)</f>
        <v/>
      </c>
      <c r="D27" s="4">
        <f>ROUND(D12,0)</f>
        <v/>
      </c>
      <c r="E27" s="4">
        <f>ROUND(E12,0)</f>
        <v/>
      </c>
    </row>
    <row r="28">
      <c r="A28" s="4" t="inlineStr">
        <is>
          <t>追加処方患者_楽観</t>
        </is>
      </c>
      <c r="B28" s="4">
        <f>ROUND(B13,0)</f>
        <v/>
      </c>
      <c r="C28" s="4">
        <f>ROUND(C13,0)</f>
        <v/>
      </c>
      <c r="D28" s="4">
        <f>ROUND(D13,0)</f>
        <v/>
      </c>
      <c r="E28" s="4">
        <f>ROUND(E13,0)</f>
        <v/>
      </c>
    </row>
    <row r="29">
      <c r="A29" s="4" t="inlineStr">
        <is>
          <t>追加売上_保守(万円)</t>
        </is>
      </c>
      <c r="B29" s="4">
        <f>ROUND(B14/10000,0)</f>
        <v/>
      </c>
      <c r="C29" s="4">
        <f>ROUND(C14/10000,0)</f>
        <v/>
      </c>
      <c r="D29" s="4">
        <f>ROUND(D14/10000,0)</f>
        <v/>
      </c>
      <c r="E29" s="4">
        <f>ROUND(D14/10000,0)-ROUND(C14/10000,0)</f>
        <v/>
      </c>
    </row>
    <row r="30">
      <c r="A30" s="4" t="inlineStr">
        <is>
          <t>追加売上_基準(万円)</t>
        </is>
      </c>
      <c r="B30" s="4">
        <f>ROUND(B15/10000,0)</f>
        <v/>
      </c>
      <c r="C30" s="4">
        <f>ROUND(C15/10000,0)</f>
        <v/>
      </c>
      <c r="D30" s="4">
        <f>ROUND(D15/10000,0)</f>
        <v/>
      </c>
      <c r="E30" s="4">
        <f>ROUND(D15/10000,0)-ROUND(C15/10000,0)</f>
        <v/>
      </c>
    </row>
    <row r="31">
      <c r="A31" s="4" t="inlineStr">
        <is>
          <t>追加売上_楽観(万円)</t>
        </is>
      </c>
      <c r="B31" s="4">
        <f>ROUND(B16/10000,0)</f>
        <v/>
      </c>
      <c r="C31" s="4">
        <f>ROUND(C16/10000,0)</f>
        <v/>
      </c>
      <c r="D31" s="4">
        <f>ROUND(D16/10000,0)</f>
        <v/>
      </c>
      <c r="E31" s="4">
        <f>ROUND(D16/10000,0)-ROUND(C16/10000,0)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>
      <c r="A1" s="1" t="inlineStr">
        <is>
          <t>⑦ 計算根拠・注意事項</t>
        </is>
      </c>
    </row>
    <row r="3">
      <c r="A3" s="2" t="inlineStr">
        <is>
          <t>【実測】医師数・潜在未処方・既読件数・既読医師率は、2026年アンケート(回答5,000名)とMR君の配信対象・既読ログ(1年分)から集計(analysis/v4_analysis.py)。</t>
        </is>
      </c>
    </row>
    <row r="4">
      <c r="A4" s="2" t="inlineStr">
        <is>
          <t>【資料】既読単価400円、年間売上50億円、現状の配信は配信対象1名に10本(課題資料「10コンテンツを対象医師に配信」)。</t>
        </is>
      </c>
    </row>
    <row r="5">
      <c r="A5" s="2" t="inlineStr">
        <is>
          <t>【仮定】処方患者1人あたり年間売上 = 50億円 ÷ 全医師の処方患者推計22,560人(回答医師11,280人×10,000/5,000)。全医師10,000名の処方が売上のすべてと仮定。</t>
        </is>
      </c>
    </row>
    <row r="6">
      <c r="A6" s="2" t="inlineStr">
        <is>
          <t>【仮定】既読医師率のモデル: 年f回配信時 = 1 −(1 − 10回時の既読医師率)^(f/10)。配信ごとの既読のしやすさが一定と仮定。10回より多い配信は未読分の再配信を含む。</t>
        </is>
      </c>
    </row>
    <row r="7">
      <c r="A7" s="2" t="inlineStr">
        <is>
          <t>【仮定】増分転換率(保守1%・基準3%・楽観6%): 既読した医師の潜在未処方のうち、配信によって新たに処方される割合。</t>
        </is>
      </c>
    </row>
    <row r="8">
      <c r="A8" s="2" t="inlineStr">
        <is>
          <t xml:space="preserve">  参考値(観察、因果ではない): MR面談のない両年回答2,945名で、配信対象は対象外より処方率の伸びが2.3pt大きかった(95%区間1.1〜3.5pt、診療科・2025年の処方率・理解度・意向で調整)。</t>
        </is>
      </c>
    </row>
    <row r="9">
      <c r="A9" s="2" t="inlineStr">
        <is>
          <t xml:space="preserve">  これを既読医師1人・潜在未処方あたりに換算すると約6.0%(下限2.8%)。楽観=中央、基準=下限、保守=その約3分の1。2025年時点の状態は両群でほぼ同じ(標準化差は最大0.06)だが、無作為ではない。</t>
        </is>
      </c>
    </row>
    <row r="10">
      <c r="A10" s="2" t="inlineStr">
        <is>
          <t>【予測区間の理由】①増分転換率(配信と処方の関係が観察データのみ) ②再配信時の既読率(未検証) ③1人あたり売上(単価・処方日数が不明) ④自己申告の患者数(年ごとに変動)。</t>
        </is>
      </c>
    </row>
    <row r="11">
      <c r="A11" s="2" t="inlineStr">
        <is>
          <t>【含めないもの】コンテンツの並べ替え・出し分けによる上乗せ効果(未検証のため0)、MR面談フォロー型の変化(現状維持)、施策をしなくても起きる処方の変化。</t>
        </is>
      </c>
    </row>
    <row r="12">
      <c r="A12" s="2" t="inlineStr">
        <is>
          <t>【売上と利益】追加売上は売上であり利益ではない。利益率が不明のため、費用との比較は「費用回収に必要な利益率」で示す。</t>
        </is>
      </c>
    </row>
    <row r="13">
      <c r="A13" s="2" t="inlineStr">
        <is>
          <t>【未確認の実施条件】新規配信先(接触不足型191名・未接触×潜在5〜7人260名)の配信資格・同意・配信停止、MR君で医師別に配信順・回数を指定できるか、制作費・運用費。</t>
        </is>
      </c>
    </row>
    <row r="14">
      <c r="A14" s="2" t="inlineStr">
        <is>
          <t>【対象範囲】回答医師5,000名のみ。非回答の5,000名は患者数が分からないため含めない(同じ条件の未接触医師は全医師で1,455名)。</t>
        </is>
      </c>
    </row>
    <row r="15">
      <c r="A15" s="2" t="inlineStr">
        <is>
          <t>【使わない分析】他グループの資料で扱われた完読・コンテンツ別の処方効果・動画の長さの分析は、本試算に使用していない。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2026-10-09T02:06:31Z</dcterms:created>
  <dcterms:modified xmlns:dcterms="http://purl.org/dc/terms/" xmlns:xsi="http://www.w3.org/2001/XMLSchema-instance" xsi:type="dcterms:W3CDTF">2026-10-09T02:06:32Z</dcterms:modified>
</cp:coreProperties>
</file>