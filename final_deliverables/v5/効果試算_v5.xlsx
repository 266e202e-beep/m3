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力" sheetId="1" state="visible" r:id="rId1"/>
    <sheet xmlns:r="http://schemas.openxmlformats.org/officeDocument/2006/relationships" name="医師セグメント" sheetId="2" state="visible" r:id="rId2"/>
    <sheet xmlns:r="http://schemas.openxmlformats.org/officeDocument/2006/relationships" name="③配信計画" sheetId="3" state="visible" r:id="rId3"/>
    <sheet xmlns:r="http://schemas.openxmlformats.org/officeDocument/2006/relationships" name="④費用計算" sheetId="4" state="visible" r:id="rId4"/>
    <sheet xmlns:r="http://schemas.openxmlformats.org/officeDocument/2006/relationships" name="⑤売上試算" sheetId="5" state="visible" r:id="rId5"/>
    <sheet xmlns:r="http://schemas.openxmlformats.org/officeDocument/2006/relationships" name="⑥シナリオ比較" sheetId="6" state="visible" r:id="rId6"/>
    <sheet xmlns:r="http://schemas.openxmlformats.org/officeDocument/2006/relationships" name="⑦計算根拠・注意事項" sheetId="7" state="visible" r:id="rId7"/>
  </sheets>
  <definedNames>
    <definedName name="unit_price">'入力'!$C$5</definedName>
    <definedName name="sales_total">'入力'!$C$6</definedName>
    <definedName name="n_all">'入力'!$C$7</definedName>
    <definedName name="n_resp">'入力'!$C$8</definedName>
    <definedName name="rx_resp">'入力'!$C$9</definedName>
    <definedName name="mkt_share">'入力'!$C$10</definedName>
    <definedName name="sales_per_pt">'入力'!$C$11</definedName>
    <definedName name="conv_low">'入力'!$C$12</definedName>
    <definedName name="conv_base">'入力'!$C$13</definedName>
    <definedName name="conv_high">'入力'!$C$14</definedName>
    <definedName name="prod_cost">'入力'!$C$15</definedName>
    <definedName name="ops_cost">'入力'!$C$16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#,##0.0"/>
    <numFmt numFmtId="167" formatCode="0.0"/>
  </numFmts>
  <fonts count="5">
    <font>
      <name val="Calibri"/>
      <family val="2"/>
      <color theme="1"/>
      <sz val="11"/>
      <scheme val="minor"/>
    </font>
    <font>
      <name val="Meiryo"/>
      <b val="1"/>
      <color rgb="000B2A5B"/>
      <sz val="13"/>
    </font>
    <font>
      <name val="Meiryo"/>
      <sz val="10"/>
    </font>
    <font>
      <name val="Meiryo"/>
      <b val="1"/>
      <color rgb="00FFFFFF"/>
      <sz val="10"/>
    </font>
    <font>
      <name val="Meiryo"/>
      <b val="1"/>
      <sz val="10"/>
    </font>
  </fonts>
  <fills count="7">
    <fill>
      <patternFill/>
    </fill>
    <fill>
      <patternFill patternType="gray125"/>
    </fill>
    <fill>
      <patternFill patternType="solid">
        <fgColor rgb="000B2A5B"/>
      </patternFill>
    </fill>
    <fill>
      <patternFill patternType="solid">
        <fgColor rgb="00E7E9EE"/>
      </patternFill>
    </fill>
    <fill>
      <patternFill patternType="solid">
        <fgColor rgb="00DCE6F5"/>
      </patternFill>
    </fill>
    <fill>
      <patternFill patternType="solid">
        <fgColor rgb="00FFF2CC"/>
      </patternFill>
    </fill>
    <fill>
      <patternFill patternType="solid">
        <fgColor rgb="00E8602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4" fillId="3" borderId="1" pivotButton="0" quotePrefix="0" xfId="0"/>
    <xf numFmtId="0" fontId="2" fillId="0" borderId="1" applyAlignment="1" pivotButton="0" quotePrefix="0" xfId="0">
      <alignment vertical="top" wrapText="1"/>
    </xf>
    <xf numFmtId="3" fontId="4" fillId="4" borderId="1" pivotButton="0" quotePrefix="0" xfId="0"/>
    <xf numFmtId="164" fontId="4" fillId="5" borderId="1" pivotButton="0" quotePrefix="0" xfId="0"/>
    <xf numFmtId="3" fontId="4" fillId="5" borderId="1" pivotButton="0" quotePrefix="0" xfId="0"/>
    <xf numFmtId="3" fontId="2" fillId="4" borderId="1" pivotButton="0" quotePrefix="0" xfId="0"/>
    <xf numFmtId="10" fontId="2" fillId="4" borderId="1" pivotButton="0" quotePrefix="0" xfId="0"/>
    <xf numFmtId="164" fontId="2" fillId="4" borderId="1" pivotButton="0" quotePrefix="0" xfId="0"/>
    <xf numFmtId="0" fontId="2" fillId="4" borderId="1" pivotButton="0" quotePrefix="0" xfId="0"/>
    <xf numFmtId="0" fontId="2" fillId="5" borderId="1" pivotButton="0" quotePrefix="0" xfId="0"/>
    <xf numFmtId="165" fontId="2" fillId="4" borderId="1" pivotButton="0" quotePrefix="0" xfId="0"/>
    <xf numFmtId="3" fontId="2" fillId="0" borderId="1" applyAlignment="1" pivotButton="0" quotePrefix="0" xfId="0">
      <alignment vertical="top" wrapText="1"/>
    </xf>
    <xf numFmtId="3" fontId="2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6" fontId="2" fillId="0" borderId="1" pivotButton="0" quotePrefix="0" xfId="0"/>
    <xf numFmtId="0" fontId="4" fillId="0" borderId="0" pivotButton="0" quotePrefix="0" xfId="0"/>
    <xf numFmtId="2" fontId="2" fillId="0" borderId="1" pivotButton="0" quotePrefix="0" xfId="0"/>
    <xf numFmtId="164" fontId="2" fillId="0" borderId="1" pivotButton="0" quotePrefix="0" xfId="0"/>
    <xf numFmtId="166" fontId="4" fillId="0" borderId="1" pivotButton="0" quotePrefix="0" xfId="0"/>
    <xf numFmtId="167" fontId="2" fillId="0" borderId="1" pivotButton="0" quotePrefix="0" xfId="0"/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70" customWidth="1" min="10" max="10"/>
  </cols>
  <sheetData>
    <row r="1">
      <c r="A1" s="1" t="inlineStr">
        <is>
          <t>① 入力(黄色=仮定・施策の設定、青=実測、灰=資料。色のセルを変えると全シートが再計算されます)</t>
        </is>
      </c>
    </row>
    <row r="2">
      <c r="A2" s="2" t="inlineStr">
        <is>
          <t>対象: 2026年アンケート回答医師5,000名。期間: 1年(MR君・MR面談は2025年6月〜2026年6月の活動。データ仕様書)</t>
        </is>
      </c>
    </row>
    <row r="4">
      <c r="A4" s="3" t="inlineStr">
        <is>
          <t>区分</t>
        </is>
      </c>
      <c r="B4" s="3" t="inlineStr">
        <is>
          <t>項目</t>
        </is>
      </c>
      <c r="C4" s="3" t="inlineStr">
        <is>
          <t>値</t>
        </is>
      </c>
      <c r="D4" s="3" t="inlineStr">
        <is>
          <t>単位</t>
        </is>
      </c>
      <c r="E4" s="3" t="inlineStr">
        <is>
          <t>名前</t>
        </is>
      </c>
      <c r="F4" s="3" t="inlineStr">
        <is>
          <t>出典・根拠</t>
        </is>
      </c>
    </row>
    <row r="5">
      <c r="A5" s="4" t="inlineStr">
        <is>
          <t>資料</t>
        </is>
      </c>
      <c r="B5" s="4" t="inlineStr">
        <is>
          <t>既読単価</t>
        </is>
      </c>
      <c r="C5" s="5" t="n">
        <v>400</v>
      </c>
      <c r="D5" s="4" t="inlineStr">
        <is>
          <t>円/既読</t>
        </is>
      </c>
      <c r="E5" s="4" t="inlineStr">
        <is>
          <t>unit_price</t>
        </is>
      </c>
      <c r="F5" s="6" t="inlineStr">
        <is>
          <t>データ仕様書: MR君は既読1件あたり400円(配信ではなく既読で課金)</t>
        </is>
      </c>
    </row>
    <row r="6">
      <c r="A6" s="4" t="inlineStr">
        <is>
          <t>資料</t>
        </is>
      </c>
      <c r="B6" s="4" t="inlineStr">
        <is>
          <t>薬剤Aの年間売上</t>
        </is>
      </c>
      <c r="C6" s="5" t="n">
        <v>5000000000</v>
      </c>
      <c r="D6" s="4" t="inlineStr">
        <is>
          <t>円</t>
        </is>
      </c>
      <c r="E6" s="4" t="inlineStr">
        <is>
          <t>sales_total</t>
        </is>
      </c>
      <c r="F6" s="6" t="inlineStr">
        <is>
          <t>課題資料・データ仕様書</t>
        </is>
      </c>
    </row>
    <row r="7">
      <c r="A7" s="4" t="inlineStr">
        <is>
          <t>資料</t>
        </is>
      </c>
      <c r="B7" s="4" t="inlineStr">
        <is>
          <t>全医師数</t>
        </is>
      </c>
      <c r="C7" s="5" t="n">
        <v>10000</v>
      </c>
      <c r="D7" s="4" t="inlineStr">
        <is>
          <t>名</t>
        </is>
      </c>
      <c r="E7" s="4" t="inlineStr">
        <is>
          <t>n_all</t>
        </is>
      </c>
      <c r="F7" s="6" t="inlineStr">
        <is>
          <t>データ仕様書: doctor_attributes「全10,000名」</t>
        </is>
      </c>
    </row>
    <row r="8">
      <c r="A8" s="4" t="inlineStr">
        <is>
          <t>資料</t>
        </is>
      </c>
      <c r="B8" s="4" t="inlineStr">
        <is>
          <t>アンケート回答医師数</t>
        </is>
      </c>
      <c r="C8" s="5" t="n">
        <v>5000</v>
      </c>
      <c r="D8" s="4" t="inlineStr">
        <is>
          <t>名</t>
        </is>
      </c>
      <c r="E8" s="4" t="inlineStr">
        <is>
          <t>n_resp</t>
        </is>
      </c>
      <c r="F8" s="6" t="inlineStr">
        <is>
          <t>survey_2026</t>
        </is>
      </c>
    </row>
    <row r="9">
      <c r="A9" s="4" t="inlineStr">
        <is>
          <t>実測</t>
        </is>
      </c>
      <c r="B9" s="4" t="inlineStr">
        <is>
          <t>回答医師の薬剤A処方患者数</t>
        </is>
      </c>
      <c r="C9" s="7" t="n">
        <v>11280</v>
      </c>
      <c r="D9" s="4" t="inlineStr">
        <is>
          <t>人</t>
        </is>
      </c>
      <c r="E9" s="4" t="inlineStr">
        <is>
          <t>rx_resp</t>
        </is>
      </c>
      <c r="F9" s="6" t="inlineStr">
        <is>
          <t>survey_2026 Q3_2の合計(直近1年・自己申告)</t>
        </is>
      </c>
    </row>
    <row r="10">
      <c r="A10" s="4" t="inlineStr">
        <is>
          <t>仮定</t>
        </is>
      </c>
      <c r="B10" s="4" t="inlineStr">
        <is>
          <t>全医師10,000名の処方が売上50億円に占める割合</t>
        </is>
      </c>
      <c r="C10" s="8" t="n">
        <v>1</v>
      </c>
      <c r="D10" s="4" t="inlineStr"/>
      <c r="E10" s="4" t="inlineStr">
        <is>
          <t>mkt_share</t>
        </is>
      </c>
      <c r="F10" s="6" t="inlineStr">
        <is>
          <t>仮定(要確認)。データ仕様書で10,000名が「全医師」のため100%</t>
        </is>
      </c>
    </row>
    <row r="11">
      <c r="A11" s="4" t="inlineStr">
        <is>
          <t>仮定</t>
        </is>
      </c>
      <c r="B11" s="4" t="inlineStr">
        <is>
          <t>処方患者1人あたり年間売上</t>
        </is>
      </c>
      <c r="C11" s="9">
        <f>sales_total*mkt_share/(rx_resp*n_all/n_resp)</f>
        <v/>
      </c>
      <c r="D11" s="4" t="inlineStr">
        <is>
          <t>円</t>
        </is>
      </c>
      <c r="E11" s="4" t="inlineStr">
        <is>
          <t>sales_per_pt</t>
        </is>
      </c>
      <c r="F11" s="6" t="inlineStr">
        <is>
          <t>初期値=50億円×割合÷全医師の処方患者推計(回答医師×2)。実際の単価が分かれば数値で上書き</t>
        </is>
      </c>
    </row>
    <row r="12">
      <c r="A12" s="4" t="inlineStr">
        <is>
          <t>仮定</t>
        </is>
      </c>
      <c r="B12" s="4" t="inlineStr">
        <is>
          <t>増分転換率_保守</t>
        </is>
      </c>
      <c r="C12" s="8" t="n">
        <v>0.01</v>
      </c>
      <c r="D12" s="4" t="inlineStr"/>
      <c r="E12" s="4" t="inlineStr">
        <is>
          <t>conv_low</t>
        </is>
      </c>
      <c r="F12" s="6" t="inlineStr">
        <is>
          <t>既読した医師の潜在未処方のうち、配信によって新たに処方される割合。配信を減らす群で失う効果にも同じ値を使う。⑦参照</t>
        </is>
      </c>
    </row>
    <row r="13">
      <c r="A13" s="4" t="inlineStr">
        <is>
          <t>仮定</t>
        </is>
      </c>
      <c r="B13" s="4" t="inlineStr">
        <is>
          <t>増分転換率_基準</t>
        </is>
      </c>
      <c r="C13" s="8" t="n">
        <v>0.03</v>
      </c>
      <c r="D13" s="4" t="inlineStr"/>
      <c r="E13" s="4" t="inlineStr">
        <is>
          <t>conv_base</t>
        </is>
      </c>
      <c r="F13" s="6" t="inlineStr">
        <is>
          <t>参考値(配信対象と対象外の差から換算)の95%区間の下限2.8%に相当</t>
        </is>
      </c>
    </row>
    <row r="14">
      <c r="A14" s="4" t="inlineStr">
        <is>
          <t>仮定</t>
        </is>
      </c>
      <c r="B14" s="4" t="inlineStr">
        <is>
          <t>増分転換率_楽観</t>
        </is>
      </c>
      <c r="C14" s="8" t="n">
        <v>0.06</v>
      </c>
      <c r="D14" s="4" t="inlineStr"/>
      <c r="E14" s="4" t="inlineStr">
        <is>
          <t>conv_high</t>
        </is>
      </c>
      <c r="F14" s="6" t="inlineStr">
        <is>
          <t>参考値の中央6.0%に相当(観察された差をすべて配信の効果とみなす)</t>
        </is>
      </c>
    </row>
    <row r="15">
      <c r="A15" s="4" t="inlineStr">
        <is>
          <t>未確認</t>
        </is>
      </c>
      <c r="B15" s="4" t="inlineStr">
        <is>
          <t>コンテンツ制作費(年)</t>
        </is>
      </c>
      <c r="C15" s="9" t="n">
        <v>0</v>
      </c>
      <c r="D15" s="4" t="inlineStr">
        <is>
          <t>円</t>
        </is>
      </c>
      <c r="E15" s="4" t="inlineStr">
        <is>
          <t>prod_cost</t>
        </is>
      </c>
      <c r="F15" s="6" t="inlineStr">
        <is>
          <t>既存10本の並べ替え・再配信のみの前提で0。新規制作する場合は入力</t>
        </is>
      </c>
    </row>
    <row r="16">
      <c r="A16" s="4" t="inlineStr">
        <is>
          <t>未確認</t>
        </is>
      </c>
      <c r="B16" s="4" t="inlineStr">
        <is>
          <t>配信設定・運用管理費(年)</t>
        </is>
      </c>
      <c r="C16" s="9" t="n">
        <v>0</v>
      </c>
      <c r="D16" s="4" t="inlineStr">
        <is>
          <t>円</t>
        </is>
      </c>
      <c r="E16" s="4" t="inlineStr">
        <is>
          <t>ops_cost</t>
        </is>
      </c>
      <c r="F16" s="6" t="inlineStr">
        <is>
          <t>未確認。判明したら入力(A案・B案の費用に加算)</t>
        </is>
      </c>
    </row>
    <row r="18">
      <c r="A18" s="1" t="inlineStr">
        <is>
          <t>群別の入力(医師ごとに主要施策を1つ。群は重複しない)</t>
        </is>
      </c>
    </row>
    <row r="19">
      <c r="A19" s="3" t="inlineStr">
        <is>
          <t>群</t>
        </is>
      </c>
      <c r="B19" s="3" t="inlineStr">
        <is>
          <t>医師数</t>
        </is>
      </c>
      <c r="C19" s="3" t="inlineStr">
        <is>
          <t>潜在未処方(人)</t>
        </is>
      </c>
      <c r="D19" s="3" t="inlineStr">
        <is>
          <t>1配信あたり既読率</t>
        </is>
      </c>
      <c r="E19" s="3" t="inlineStr">
        <is>
          <t>年10回配信時の既読医師率</t>
        </is>
      </c>
      <c r="F19" s="3" t="inlineStr">
        <is>
          <t>現状の年間配信回数</t>
        </is>
      </c>
      <c r="G19" s="3" t="inlineStr">
        <is>
          <t>A案の年間配信回数</t>
        </is>
      </c>
      <c r="H19" s="3" t="inlineStr">
        <is>
          <t>B案の年間配信回数</t>
        </is>
      </c>
      <c r="I19" s="3" t="inlineStr">
        <is>
          <t>翌年比(平均への回帰)</t>
        </is>
      </c>
      <c r="J19" s="3" t="inlineStr">
        <is>
          <t>出典・根拠</t>
        </is>
      </c>
    </row>
    <row r="20">
      <c r="A20" s="4" t="inlineStr">
        <is>
          <t>① 未接触・潜在8人以上(重点医師)</t>
        </is>
      </c>
      <c r="B20" s="10" t="n">
        <v>191</v>
      </c>
      <c r="C20" s="10" t="n">
        <v>2042</v>
      </c>
      <c r="D20" s="11" t="n">
        <v>0.09693877551020408</v>
      </c>
      <c r="E20" s="12" t="n">
        <v>0.4872448979591837</v>
      </c>
      <c r="F20" s="13" t="n">
        <v>0</v>
      </c>
      <c r="G20" s="14" t="n">
        <v>12</v>
      </c>
      <c r="H20" s="14" t="n">
        <v>12</v>
      </c>
      <c r="I20" s="15" t="n">
        <v>0.7755905511811023</v>
      </c>
      <c r="J20" s="6" t="inlineStr">
        <is>
          <t>内科・耳鼻で潜在8人以上、MR面談なし・MR君未配信。既読率は配信中・MR面談なしの重点医師(②)の実測値を使う(仮定)</t>
        </is>
      </c>
    </row>
    <row r="21">
      <c r="A21" s="4" t="inlineStr">
        <is>
          <t>② 配信中・潜在8人以上(重点医師)</t>
        </is>
      </c>
      <c r="B21" s="10" t="n">
        <v>392</v>
      </c>
      <c r="C21" s="10" t="n">
        <v>4005</v>
      </c>
      <c r="D21" s="11" t="n">
        <v>0.09693877551020408</v>
      </c>
      <c r="E21" s="12" t="n">
        <v>0.4872448979591837</v>
      </c>
      <c r="F21" s="13" t="n">
        <v>10</v>
      </c>
      <c r="G21" s="14" t="n">
        <v>12</v>
      </c>
      <c r="H21" s="14" t="n">
        <v>12</v>
      </c>
      <c r="I21" s="15" t="n">
        <v>0.7755905511811023</v>
      </c>
      <c r="J21" s="6" t="inlineStr">
        <is>
          <t>内科・耳鼻で潜在8人以上、MR面談なし・MR君配信中。既読率は実測</t>
        </is>
      </c>
    </row>
    <row r="22">
      <c r="A22" s="4" t="inlineStr">
        <is>
          <t>③ 配信中・潜在0〜2人(財源)</t>
        </is>
      </c>
      <c r="B22" s="10" t="n">
        <v>993</v>
      </c>
      <c r="C22" s="10" t="n">
        <v>1511</v>
      </c>
      <c r="D22" s="11" t="n">
        <v>0.1173212487411883</v>
      </c>
      <c r="E22" s="12" t="n">
        <v>0.5115810674723061</v>
      </c>
      <c r="F22" s="13" t="n">
        <v>10</v>
      </c>
      <c r="G22" s="14" t="n">
        <v>6</v>
      </c>
      <c r="H22" s="14" t="n">
        <v>6</v>
      </c>
      <c r="I22" s="15" t="n">
        <v>2.160606060606061</v>
      </c>
      <c r="J22" s="6" t="inlineStr">
        <is>
          <t>A案の財源。全診療科で潜在0〜2人の配信対象。翌年比は全診療科・潜在0〜2人の実測値(平均への回帰で翌年は増える)</t>
        </is>
      </c>
    </row>
    <row r="23">
      <c r="A23" s="4" t="inlineStr">
        <is>
          <t>④ MR面談あり・潜在8人以上(重点医師、配信中)</t>
        </is>
      </c>
      <c r="B23" s="10" t="n">
        <v>82</v>
      </c>
      <c r="C23" s="10" t="n">
        <v>787</v>
      </c>
      <c r="D23" s="11" t="n">
        <v>0.09146341463414634</v>
      </c>
      <c r="E23" s="12" t="n">
        <v>0.3902439024390244</v>
      </c>
      <c r="F23" s="13" t="n">
        <v>10</v>
      </c>
      <c r="G23" s="14" t="n">
        <v>10</v>
      </c>
      <c r="H23" s="14" t="n">
        <v>10</v>
      </c>
      <c r="I23" s="15" t="n">
        <v>0.7755905511811023</v>
      </c>
      <c r="J23" s="6" t="inlineStr">
        <is>
          <t>重点医師のうちMR面談あり(118名)で配信中の82名。現状維持</t>
        </is>
      </c>
    </row>
    <row r="24">
      <c r="A24" s="4" t="inlineStr">
        <is>
          <t>⑤ 未接触・潜在5〜7人(B案で追加)</t>
        </is>
      </c>
      <c r="B24" s="10" t="n">
        <v>260</v>
      </c>
      <c r="C24" s="10" t="n">
        <v>1546</v>
      </c>
      <c r="D24" s="11" t="n">
        <v>0.1191616766467066</v>
      </c>
      <c r="E24" s="12" t="n">
        <v>0.5229540918163673</v>
      </c>
      <c r="F24" s="13" t="n">
        <v>0</v>
      </c>
      <c r="G24" s="14" t="n">
        <v>0</v>
      </c>
      <c r="H24" s="14" t="n">
        <v>12</v>
      </c>
      <c r="I24" s="15" t="n">
        <v>1.017937219730942</v>
      </c>
      <c r="J24" s="6" t="inlineStr">
        <is>
          <t>B案で追加。既読率は同じ条件(内科・耳鼻・面談なし・潜在5〜7人)で配信中の医師の実測値</t>
        </is>
      </c>
    </row>
    <row r="25">
      <c r="A25" s="4" t="inlineStr">
        <is>
          <t>その他の配信中(変更なし)</t>
        </is>
      </c>
      <c r="B25" s="10" t="n">
        <v>2014</v>
      </c>
      <c r="C25" s="10" t="n">
        <v>9421</v>
      </c>
      <c r="D25" s="11" t="n">
        <v>0.1183714001986097</v>
      </c>
      <c r="E25" s="12" t="inlineStr"/>
      <c r="F25" s="13" t="n">
        <v>10</v>
      </c>
      <c r="G25" s="14" t="n">
        <v>10</v>
      </c>
      <c r="H25" s="14" t="n">
        <v>10</v>
      </c>
      <c r="I25" s="15" t="n">
        <v>1</v>
      </c>
      <c r="J25" s="6" t="inlineStr">
        <is>
          <t>上記以外の配信対象。既読率は残りの既読件数から逆算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34" customWidth="1" min="4" max="4"/>
    <col width="34" customWidth="1" min="5" max="5"/>
    <col width="40" customWidth="1" min="6" max="6"/>
    <col width="10" customWidth="1" min="7" max="7"/>
    <col width="10" customWidth="1" min="8" max="8"/>
    <col width="12" customWidth="1" min="9" max="9"/>
    <col width="24" customWidth="1" min="10" max="10"/>
    <col width="24" customWidth="1" min="11" max="11"/>
    <col width="40" customWidth="1" min="12" max="12"/>
  </cols>
  <sheetData>
    <row r="1">
      <c r="A1" s="1" t="inlineStr">
        <is>
          <t>② 医師セグメント別施策表: 施策①(配信対象・回数)と施策②(診療科別の配信順)。重点医師 = 内科・耳鼻咽喉科で潜在未処方8人以上(701名)</t>
        </is>
      </c>
    </row>
    <row r="2">
      <c r="A2" s="2" t="inlineStr">
        <is>
          <t>群は潜在未処方と接触状況(MR面談・MR君)で分け、各医師は1つの群だけに属する。数値は回答医師ベース・A案の値(⑤はB案の値)。配信順は下の表(コンテンツ名と主要テーマで分類。本文は未確認)</t>
        </is>
      </c>
    </row>
    <row r="4">
      <c r="A4" s="3" t="inlineStr">
        <is>
          <t>医師セグメント</t>
        </is>
      </c>
      <c r="B4" s="3" t="inlineStr">
        <is>
          <t>対象医師数</t>
        </is>
      </c>
      <c r="C4" s="3" t="inlineStr">
        <is>
          <t>潜在患者数</t>
        </is>
      </c>
      <c r="D4" s="3" t="inlineStr">
        <is>
          <t>発見された課題</t>
        </is>
      </c>
      <c r="E4" s="3" t="inlineStr">
        <is>
          <t>類似高処方医師との違い</t>
        </is>
      </c>
      <c r="F4" s="3" t="inlineStr">
        <is>
          <t>推奨コンテンツ</t>
        </is>
      </c>
      <c r="G4" s="3" t="inlineStr">
        <is>
          <t>配信回数(年)</t>
        </is>
      </c>
      <c r="H4" s="3" t="inlineStr">
        <is>
          <t>想定既読件数(年)</t>
        </is>
      </c>
      <c r="I4" s="3" t="inlineStr">
        <is>
          <t>想定費用(年、円)</t>
        </is>
      </c>
      <c r="J4" s="3" t="inlineStr">
        <is>
          <t>期待する行動変化</t>
        </is>
      </c>
      <c r="K4" s="3" t="inlineStr">
        <is>
          <t>KPI</t>
        </is>
      </c>
      <c r="L4" s="3" t="inlineStr">
        <is>
          <t>なぜこの医師に、この内容を、この回数送るのか</t>
        </is>
      </c>
    </row>
    <row r="5" ht="120" customHeight="1">
      <c r="A5" s="6" t="inlineStr">
        <is>
          <t>① 新規配信: MR面談もMR君もない重点医師
(内科89・耳鼻102)</t>
        </is>
      </c>
      <c r="B5" s="16">
        <f>'入力'!$B$20</f>
        <v/>
      </c>
      <c r="C5" s="16">
        <f>'入力'!$C$20</f>
        <v/>
      </c>
      <c r="D5" s="6" t="inlineStr">
        <is>
          <t>MR面談もMR君の配信もない。1人あたり潜在未処方10.7人と最も多い</t>
        </is>
      </c>
      <c r="E5" s="6" t="inlineStr">
        <is>
          <t>類似高処方医師はMR面談あり51%(重点医師は17%)。理解度は5段階で2.1 vs 3.8</t>
        </is>
      </c>
      <c r="F5" s="6" t="inlineStr">
        <is>
          <t>診療科別の配信順(内科: C04→C03→C05→…/耳鼻: C05→C03→C01→…)。11・12回目は未読の1〜3本目を再配信</t>
        </is>
      </c>
      <c r="G5" s="6">
        <f>'入力'!$G$20</f>
        <v/>
      </c>
      <c r="H5" s="16">
        <f>'④費用計算'!E6</f>
        <v/>
      </c>
      <c r="I5" s="16">
        <f>'④費用計算'!H6</f>
        <v/>
      </c>
      <c r="J5" s="6" t="inlineStr">
        <is>
          <t>MR君で薬剤Aの情報に初めて接し、重視する特性の理解を深める</t>
        </is>
      </c>
      <c r="K5" s="6" t="inlineStr">
        <is>
          <t>既読医師率55%(想定)、最重視テーマの既読率、理解度(次回調査)</t>
        </is>
      </c>
      <c r="L5" s="6" t="inlineStr">
        <is>
          <t>潜在患者が最も多いのに、MRもMR君も届いていない。既存の配信基盤に加えるだけで接点を作れる</t>
        </is>
      </c>
    </row>
    <row r="6" ht="120" customHeight="1">
      <c r="A6" s="6" t="inlineStr">
        <is>
          <t>② 増回: MR君のみの重点医師
(内科162・耳鼻230)</t>
        </is>
      </c>
      <c r="B6" s="16">
        <f>'入力'!$B$21</f>
        <v/>
      </c>
      <c r="C6" s="16">
        <f>'入力'!$C$21</f>
        <v/>
      </c>
      <c r="D6" s="6" t="inlineStr">
        <is>
          <t>配信中でも約半数(51%)が1年間1本も読んでいない</t>
        </is>
      </c>
      <c r="E6" s="6" t="inlineStr">
        <is>
          <t>重点医師の既読は配信対象1人あたり年0.96件(類似高処方医師1.31件)。MR面談あり17% vs 51%</t>
        </is>
      </c>
      <c r="F6" s="6" t="inlineStr">
        <is>
          <t>①と同じ配信順。11・12回目は未読の1〜3本目を再配信</t>
        </is>
      </c>
      <c r="G6" s="6">
        <f>'入力'!$G$21</f>
        <v/>
      </c>
      <c r="H6" s="16">
        <f>'④費用計算'!E7</f>
        <v/>
      </c>
      <c r="I6" s="16">
        <f>'④費用計算'!H7</f>
        <v/>
      </c>
      <c r="J6" s="6" t="inlineStr">
        <is>
          <t>重視テーマを読み、理解度を上げる</t>
        </is>
      </c>
      <c r="K6" s="6" t="inlineStr">
        <is>
          <t>既読医師率49%→55%(想定)、最重視テーマの既読率</t>
        </is>
      </c>
      <c r="L6" s="6" t="inlineStr">
        <is>
          <t>MRが会えていない重点医師の主な接点はMR君。読まれていない重視テーマを再配信する(年10回→12回)</t>
        </is>
      </c>
    </row>
    <row r="7" ht="120" customHeight="1">
      <c r="A7" s="6" t="inlineStr">
        <is>
          <t>③ 隔月に: 潜在患者0〜2人の医師(全診療科)
(内科343・耳鼻67・小児390・眼科193)</t>
        </is>
      </c>
      <c r="B7" s="16">
        <f>'入力'!$B$22</f>
        <v/>
      </c>
      <c r="C7" s="16">
        <f>'入力'!$C$22</f>
        <v/>
      </c>
      <c r="D7" s="6" t="inlineStr">
        <is>
          <t>1人あたり潜在未処方1.5人。それでも配信率は71%で、潜在8人以上の医師(68%)と同じ水準</t>
        </is>
      </c>
      <c r="E7" s="6" t="inlineStr">
        <is>
          <t>(重点医師ではない)</t>
        </is>
      </c>
      <c r="F7" s="6" t="inlineStr">
        <is>
          <t>診療科別の配信順の上位6本(小児科・眼科はC03→C05→…)</t>
        </is>
      </c>
      <c r="G7" s="6">
        <f>'入力'!$G$22</f>
        <v/>
      </c>
      <c r="H7" s="16">
        <f>'④費用計算'!E8</f>
        <v/>
      </c>
      <c r="I7" s="16">
        <f>'④費用計算'!H8</f>
        <v/>
      </c>
      <c r="J7" s="6" t="inlineStr">
        <is>
          <t>隔月でも重視テーマを受け取る</t>
        </is>
      </c>
      <c r="K7" s="6" t="inlineStr">
        <is>
          <t>処方率の維持(次回調査)、配信停止の件数</t>
        </is>
      </c>
      <c r="L7" s="6" t="inlineStr">
        <is>
          <t>潜在患者数に合わせて配信を配分し直す。翌年に潜在が増える分(平均への回帰)を見込んでも、既読1件あたりの効果は①の約3割</t>
        </is>
      </c>
    </row>
    <row r="8" ht="120" customHeight="1">
      <c r="A8" s="6" t="inlineStr">
        <is>
          <t>④ 現状維持: MR面談がある重点医師(配信中82名)
(内科31・耳鼻51)</t>
        </is>
      </c>
      <c r="B8" s="16">
        <f>'入力'!$B$23</f>
        <v/>
      </c>
      <c r="C8" s="16">
        <f>'入力'!$C$23</f>
        <v/>
      </c>
      <c r="D8" s="6" t="inlineStr">
        <is>
          <t>MR面談あり。最も参考にした情報源の97%がMR対面</t>
        </is>
      </c>
      <c r="E8" s="6" t="inlineStr">
        <is>
          <t>MR面談がある(類似高処方医師もMR面談あり51%)</t>
        </is>
      </c>
      <c r="F8" s="6" t="inlineStr">
        <is>
          <t>回数は変えず、配信順だけ診療科別にする</t>
        </is>
      </c>
      <c r="G8" s="6">
        <f>'入力'!$G$23</f>
        <v/>
      </c>
      <c r="H8" s="16">
        <f>'④費用計算'!E9</f>
        <v/>
      </c>
      <c r="I8" s="16">
        <f>'④費用計算'!H9</f>
        <v/>
      </c>
      <c r="J8" s="6" t="inlineStr">
        <is>
          <t>MR面談で情報を得る(MR君は補完)</t>
        </is>
      </c>
      <c r="K8" s="6" t="inlineStr">
        <is>
          <t>現状維持</t>
        </is>
      </c>
      <c r="L8" s="6" t="inlineStr">
        <is>
          <t>主な情報源がMR対面のため、MR君の回数は増やさない。MR面談のない残り36名はMR対応のまま</t>
        </is>
      </c>
    </row>
    <row r="9" ht="120" customHeight="1">
      <c r="A9" s="6" t="inlineStr">
        <is>
          <t>⑤ B案で新規配信: 未接触・潜在5〜7人
(内科162・耳鼻98)</t>
        </is>
      </c>
      <c r="B9" s="16">
        <f>'入力'!$B$24</f>
        <v/>
      </c>
      <c r="C9" s="16">
        <f>'入力'!$C$24</f>
        <v/>
      </c>
      <c r="D9" s="6" t="inlineStr">
        <is>
          <t>MR面談もMR君の配信もない。1人あたり潜在未処方5.9人</t>
        </is>
      </c>
      <c r="E9" s="6" t="inlineStr">
        <is>
          <t>重点医師(潜在8人以上)の次に潜在が多い未接触の医師</t>
        </is>
      </c>
      <c r="F9" s="6" t="inlineStr">
        <is>
          <t>①と同じ配信順</t>
        </is>
      </c>
      <c r="G9" s="6">
        <f>'入力'!$H$24</f>
        <v/>
      </c>
      <c r="H9" s="16">
        <f>'④費用計算'!F10</f>
        <v/>
      </c>
      <c r="I9" s="16">
        <f>'④費用計算'!I10</f>
        <v/>
      </c>
      <c r="J9" s="6" t="inlineStr">
        <is>
          <t>MR君で接点を持つ</t>
        </is>
      </c>
      <c r="K9" s="6" t="inlineStr">
        <is>
          <t>既読医師率59%(想定)、理解度(次回調査)</t>
        </is>
      </c>
      <c r="L9" s="6" t="inlineStr">
        <is>
          <t>追加予算がある場合に、未接触の中で次に潜在が多い医師へ月1回で広げる</t>
        </is>
      </c>
    </row>
    <row r="12">
      <c r="A12" s="1" t="inlineStr">
        <is>
          <t>施策② 診療科別の配信順(各特性の代表コンテンツ1本ずつを、その特性を最も重視する医師が多い順に。各特性の2本目以降は後半)</t>
        </is>
      </c>
    </row>
    <row r="13">
      <c r="A13" s="3" t="inlineStr">
        <is>
          <t>診療科</t>
        </is>
      </c>
      <c r="B13" s="3" t="inlineStr">
        <is>
          <t>重視の割合の基準</t>
        </is>
      </c>
      <c r="C13" s="3" t="inlineStr">
        <is>
          <t>1本目</t>
        </is>
      </c>
      <c r="D13" s="3" t="inlineStr">
        <is>
          <t>2本目</t>
        </is>
      </c>
      <c r="E13" s="3" t="inlineStr">
        <is>
          <t>3本目</t>
        </is>
      </c>
      <c r="F13" s="3" t="inlineStr">
        <is>
          <t>4本目</t>
        </is>
      </c>
      <c r="G13" s="3" t="inlineStr">
        <is>
          <t>5本目</t>
        </is>
      </c>
      <c r="H13" s="3" t="inlineStr">
        <is>
          <t>6本目</t>
        </is>
      </c>
      <c r="I13" s="3" t="inlineStr">
        <is>
          <t>7本目</t>
        </is>
      </c>
      <c r="J13" s="3" t="inlineStr">
        <is>
          <t>8本目</t>
        </is>
      </c>
      <c r="K13" s="3" t="inlineStr">
        <is>
          <t>9本目</t>
        </is>
      </c>
      <c r="L13" s="3" t="inlineStr">
        <is>
          <t>10本目</t>
        </is>
      </c>
    </row>
    <row r="14" ht="48" customHeight="1">
      <c r="A14" s="6" t="inlineStr">
        <is>
          <t>内科</t>
        </is>
      </c>
      <c r="B14" s="6" t="inlineStr">
        <is>
          <t>重点医師292名</t>
        </is>
      </c>
      <c r="C14" s="6" t="inlineStr">
        <is>
          <t>C04 飲み合わせガイド
(飲み合わせ: 最重視58%)</t>
        </is>
      </c>
      <c r="D14" s="6" t="inlineStr">
        <is>
          <t>C03 副作用プロファイル
(副作用の少なさ: 最重視22%)</t>
        </is>
      </c>
      <c r="E14" s="6" t="inlineStr">
        <is>
          <t>C05 24時間カバーの臨床エビデンス
(24h持続性: 最重視15%)</t>
        </is>
      </c>
      <c r="F14" s="6" t="inlineStr">
        <is>
          <t>C01 即効メカニズム
(効果発現速度: 最重視5%)</t>
        </is>
      </c>
      <c r="G14" s="6" t="inlineStr">
        <is>
          <t>C02 幅広い適応症例集
(適用症状の広さ: 最重視0%)</t>
        </is>
      </c>
      <c r="H14" s="6" t="inlineStr">
        <is>
          <t>C09 多剤併用患者への処方設計
(飲み合わせ: 最重視58%)</t>
        </is>
      </c>
      <c r="I14" s="6" t="inlineStr">
        <is>
          <t>C10 長期投与の安全性と有効性
(24h持続性: 最重視15%)</t>
        </is>
      </c>
      <c r="J14" s="6" t="inlineStr">
        <is>
          <t>C07 即効性×持続性
(効果発現速度: 最重視5%)</t>
        </is>
      </c>
      <c r="K14" s="6" t="inlineStr">
        <is>
          <t>C06 2026年最新トレンド
(効果発現速度: 最重視5%)</t>
        </is>
      </c>
      <c r="L14" s="6" t="inlineStr">
        <is>
          <t>C08 QOL改善効果
(適用症状の広さ: 最重視0%)</t>
        </is>
      </c>
    </row>
    <row r="15" ht="48" customHeight="1">
      <c r="A15" s="6" t="inlineStr">
        <is>
          <t>耳鼻咽喉科</t>
        </is>
      </c>
      <c r="B15" s="6" t="inlineStr">
        <is>
          <t>重点医師409名</t>
        </is>
      </c>
      <c r="C15" s="6" t="inlineStr">
        <is>
          <t>C05 24時間カバーの臨床エビデンス
(24h持続性: 最重視44%)</t>
        </is>
      </c>
      <c r="D15" s="6" t="inlineStr">
        <is>
          <t>C03 副作用プロファイル
(副作用の少なさ: 最重視29%)</t>
        </is>
      </c>
      <c r="E15" s="6" t="inlineStr">
        <is>
          <t>C01 即効メカニズム
(効果発現速度: 最重視16%)</t>
        </is>
      </c>
      <c r="F15" s="6" t="inlineStr">
        <is>
          <t>C04 飲み合わせガイド
(飲み合わせ: 最重視11%)</t>
        </is>
      </c>
      <c r="G15" s="6" t="inlineStr">
        <is>
          <t>C02 幅広い適応症例集
(適用症状の広さ: 最重視0%)</t>
        </is>
      </c>
      <c r="H15" s="6" t="inlineStr">
        <is>
          <t>C10 長期投与の安全性と有効性
(24h持続性: 最重視44%)</t>
        </is>
      </c>
      <c r="I15" s="6" t="inlineStr">
        <is>
          <t>C07 即効性×持続性
(効果発現速度: 最重視16%)</t>
        </is>
      </c>
      <c r="J15" s="6" t="inlineStr">
        <is>
          <t>C06 2026年最新トレンド
(効果発現速度: 最重視16%)</t>
        </is>
      </c>
      <c r="K15" s="6" t="inlineStr">
        <is>
          <t>C09 多剤併用患者への処方設計
(飲み合わせ: 最重視11%)</t>
        </is>
      </c>
      <c r="L15" s="6" t="inlineStr">
        <is>
          <t>C08 QOL改善効果
(適用症状の広さ: 最重視0%)</t>
        </is>
      </c>
    </row>
    <row r="16" ht="48" customHeight="1">
      <c r="A16" s="6" t="inlineStr">
        <is>
          <t>小児科</t>
        </is>
      </c>
      <c r="B16" s="6" t="inlineStr">
        <is>
          <t>全回答医師1,232名</t>
        </is>
      </c>
      <c r="C16" s="6" t="inlineStr">
        <is>
          <t>C03 副作用プロファイル
(副作用の少なさ: 最重視65%)</t>
        </is>
      </c>
      <c r="D16" s="6" t="inlineStr">
        <is>
          <t>C05 24時間カバーの臨床エビデンス
(24h持続性: 最重視19%)</t>
        </is>
      </c>
      <c r="E16" s="6" t="inlineStr">
        <is>
          <t>C04 飲み合わせガイド
(飲み合わせ: 最重視10%)</t>
        </is>
      </c>
      <c r="F16" s="6" t="inlineStr">
        <is>
          <t>C01 即効メカニズム
(効果発現速度: 最重視7%)</t>
        </is>
      </c>
      <c r="G16" s="6" t="inlineStr">
        <is>
          <t>C02 幅広い適応症例集
(適用症状の広さ: 最重視0%)</t>
        </is>
      </c>
      <c r="H16" s="6" t="inlineStr">
        <is>
          <t>C10 長期投与の安全性と有効性
(24h持続性: 最重視19%)</t>
        </is>
      </c>
      <c r="I16" s="6" t="inlineStr">
        <is>
          <t>C09 多剤併用患者への処方設計
(飲み合わせ: 最重視10%)</t>
        </is>
      </c>
      <c r="J16" s="6" t="inlineStr">
        <is>
          <t>C07 即効性×持続性
(効果発現速度: 最重視7%)</t>
        </is>
      </c>
      <c r="K16" s="6" t="inlineStr">
        <is>
          <t>C06 2026年最新トレンド
(効果発現速度: 最重視7%)</t>
        </is>
      </c>
      <c r="L16" s="6" t="inlineStr">
        <is>
          <t>C08 QOL改善効果
(適用症状の広さ: 最重視0%)</t>
        </is>
      </c>
    </row>
    <row r="17" ht="48" customHeight="1">
      <c r="A17" s="6" t="inlineStr">
        <is>
          <t>眼科</t>
        </is>
      </c>
      <c r="B17" s="6" t="inlineStr">
        <is>
          <t>全回答医師482名</t>
        </is>
      </c>
      <c r="C17" s="6" t="inlineStr">
        <is>
          <t>C03 副作用プロファイル
(副作用の少なさ: 最重視50%)</t>
        </is>
      </c>
      <c r="D17" s="6" t="inlineStr">
        <is>
          <t>C05 24時間カバーの臨床エビデンス
(24h持続性: 最重視30%)</t>
        </is>
      </c>
      <c r="E17" s="6" t="inlineStr">
        <is>
          <t>C01 即効メカニズム
(効果発現速度: 最重視12%)</t>
        </is>
      </c>
      <c r="F17" s="6" t="inlineStr">
        <is>
          <t>C04 飲み合わせガイド
(飲み合わせ: 最重視9%)</t>
        </is>
      </c>
      <c r="G17" s="6" t="inlineStr">
        <is>
          <t>C02 幅広い適応症例集
(適用症状の広さ: 最重視0%)</t>
        </is>
      </c>
      <c r="H17" s="6" t="inlineStr">
        <is>
          <t>C10 長期投与の安全性と有効性
(24h持続性: 最重視30%)</t>
        </is>
      </c>
      <c r="I17" s="6" t="inlineStr">
        <is>
          <t>C07 即効性×持続性
(効果発現速度: 最重視12%)</t>
        </is>
      </c>
      <c r="J17" s="6" t="inlineStr">
        <is>
          <t>C06 2026年最新トレンド
(効果発現速度: 最重視12%)</t>
        </is>
      </c>
      <c r="K17" s="6" t="inlineStr">
        <is>
          <t>C09 多剤併用患者への処方設計
(飲み合わせ: 最重視9%)</t>
        </is>
      </c>
      <c r="L17" s="6" t="inlineStr">
        <is>
          <t>C08 QOL改善効果
(適用症状の広さ: 最重視0%)</t>
        </is>
      </c>
    </row>
    <row r="19">
      <c r="A19" s="4" t="inlineStr">
        <is>
          <t>年12回の群(①②⑤)は10本を上の順で配信し、11・12回目に未読の1〜3本目を再配信。③(隔月)は上位6本。④は回数を変えず順番のみ。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③ 配信計画(誰に・何回)</t>
        </is>
      </c>
    </row>
    <row r="4">
      <c r="A4" s="3" t="inlineStr">
        <is>
          <t>群</t>
        </is>
      </c>
      <c r="B4" s="3" t="inlineStr">
        <is>
          <t>現状回数</t>
        </is>
      </c>
      <c r="C4" s="3" t="inlineStr">
        <is>
          <t>A案回数</t>
        </is>
      </c>
      <c r="D4" s="3" t="inlineStr">
        <is>
          <t>B案回数</t>
        </is>
      </c>
      <c r="E4" s="3" t="inlineStr">
        <is>
          <t>配信医師数_現状</t>
        </is>
      </c>
      <c r="F4" s="3" t="inlineStr">
        <is>
          <t>配信医師数_A案</t>
        </is>
      </c>
      <c r="G4" s="3" t="inlineStr">
        <is>
          <t>配信医師数_B案</t>
        </is>
      </c>
      <c r="H4" s="3" t="inlineStr">
        <is>
          <t>配信件数_現状</t>
        </is>
      </c>
      <c r="I4" s="3" t="inlineStr">
        <is>
          <t>配信件数_A案</t>
        </is>
      </c>
      <c r="J4" s="3" t="inlineStr">
        <is>
          <t>配信件数_B案</t>
        </is>
      </c>
    </row>
    <row r="5">
      <c r="A5" s="4" t="inlineStr">
        <is>
          <t>① 未接触・潜在8人以上(重点医師)</t>
        </is>
      </c>
      <c r="B5" s="4">
        <f>'入力'!$F$20</f>
        <v/>
      </c>
      <c r="C5" s="4">
        <f>'入力'!$G$20</f>
        <v/>
      </c>
      <c r="D5" s="4">
        <f>'入力'!$H$20</f>
        <v/>
      </c>
      <c r="E5" s="17">
        <f>IF('入力'!$F$20&gt;0,'入力'!$B$20,0)</f>
        <v/>
      </c>
      <c r="F5" s="17">
        <f>IF('入力'!$G$20&gt;0,'入力'!$B$20,0)</f>
        <v/>
      </c>
      <c r="G5" s="17">
        <f>IF('入力'!$H$20&gt;0,'入力'!$B$20,0)</f>
        <v/>
      </c>
      <c r="H5" s="17">
        <f>'入力'!$B$20*'入力'!$F$20</f>
        <v/>
      </c>
      <c r="I5" s="17">
        <f>'入力'!$B$20*'入力'!$G$20</f>
        <v/>
      </c>
      <c r="J5" s="17">
        <f>'入力'!$B$20*'入力'!$H$20</f>
        <v/>
      </c>
    </row>
    <row r="6">
      <c r="A6" s="4" t="inlineStr">
        <is>
          <t>② 配信中・潜在8人以上(重点医師)</t>
        </is>
      </c>
      <c r="B6" s="4">
        <f>'入力'!$F$21</f>
        <v/>
      </c>
      <c r="C6" s="4">
        <f>'入力'!$G$21</f>
        <v/>
      </c>
      <c r="D6" s="4">
        <f>'入力'!$H$21</f>
        <v/>
      </c>
      <c r="E6" s="17">
        <f>IF('入力'!$F$21&gt;0,'入力'!$B$21,0)</f>
        <v/>
      </c>
      <c r="F6" s="17">
        <f>IF('入力'!$G$21&gt;0,'入力'!$B$21,0)</f>
        <v/>
      </c>
      <c r="G6" s="17">
        <f>IF('入力'!$H$21&gt;0,'入力'!$B$21,0)</f>
        <v/>
      </c>
      <c r="H6" s="17">
        <f>'入力'!$B$21*'入力'!$F$21</f>
        <v/>
      </c>
      <c r="I6" s="17">
        <f>'入力'!$B$21*'入力'!$G$21</f>
        <v/>
      </c>
      <c r="J6" s="17">
        <f>'入力'!$B$21*'入力'!$H$21</f>
        <v/>
      </c>
    </row>
    <row r="7">
      <c r="A7" s="4" t="inlineStr">
        <is>
          <t>③ 配信中・潜在0〜2人(財源)</t>
        </is>
      </c>
      <c r="B7" s="4">
        <f>'入力'!$F$22</f>
        <v/>
      </c>
      <c r="C7" s="4">
        <f>'入力'!$G$22</f>
        <v/>
      </c>
      <c r="D7" s="4">
        <f>'入力'!$H$22</f>
        <v/>
      </c>
      <c r="E7" s="17">
        <f>IF('入力'!$F$22&gt;0,'入力'!$B$22,0)</f>
        <v/>
      </c>
      <c r="F7" s="17">
        <f>IF('入力'!$G$22&gt;0,'入力'!$B$22,0)</f>
        <v/>
      </c>
      <c r="G7" s="17">
        <f>IF('入力'!$H$22&gt;0,'入力'!$B$22,0)</f>
        <v/>
      </c>
      <c r="H7" s="17">
        <f>'入力'!$B$22*'入力'!$F$22</f>
        <v/>
      </c>
      <c r="I7" s="17">
        <f>'入力'!$B$22*'入力'!$G$22</f>
        <v/>
      </c>
      <c r="J7" s="17">
        <f>'入力'!$B$22*'入力'!$H$22</f>
        <v/>
      </c>
    </row>
    <row r="8">
      <c r="A8" s="4" t="inlineStr">
        <is>
          <t>④ MR面談あり・潜在8人以上(重点医師、配信中)</t>
        </is>
      </c>
      <c r="B8" s="4">
        <f>'入力'!$F$23</f>
        <v/>
      </c>
      <c r="C8" s="4">
        <f>'入力'!$G$23</f>
        <v/>
      </c>
      <c r="D8" s="4">
        <f>'入力'!$H$23</f>
        <v/>
      </c>
      <c r="E8" s="17">
        <f>IF('入力'!$F$23&gt;0,'入力'!$B$23,0)</f>
        <v/>
      </c>
      <c r="F8" s="17">
        <f>IF('入力'!$G$23&gt;0,'入力'!$B$23,0)</f>
        <v/>
      </c>
      <c r="G8" s="17">
        <f>IF('入力'!$H$23&gt;0,'入力'!$B$23,0)</f>
        <v/>
      </c>
      <c r="H8" s="17">
        <f>'入力'!$B$23*'入力'!$F$23</f>
        <v/>
      </c>
      <c r="I8" s="17">
        <f>'入力'!$B$23*'入力'!$G$23</f>
        <v/>
      </c>
      <c r="J8" s="17">
        <f>'入力'!$B$23*'入力'!$H$23</f>
        <v/>
      </c>
    </row>
    <row r="9">
      <c r="A9" s="4" t="inlineStr">
        <is>
          <t>⑤ 未接触・潜在5〜7人(B案で追加)</t>
        </is>
      </c>
      <c r="B9" s="4">
        <f>'入力'!$F$24</f>
        <v/>
      </c>
      <c r="C9" s="4">
        <f>'入力'!$G$24</f>
        <v/>
      </c>
      <c r="D9" s="4">
        <f>'入力'!$H$24</f>
        <v/>
      </c>
      <c r="E9" s="17">
        <f>IF('入力'!$F$24&gt;0,'入力'!$B$24,0)</f>
        <v/>
      </c>
      <c r="F9" s="17">
        <f>IF('入力'!$G$24&gt;0,'入力'!$B$24,0)</f>
        <v/>
      </c>
      <c r="G9" s="17">
        <f>IF('入力'!$H$24&gt;0,'入力'!$B$24,0)</f>
        <v/>
      </c>
      <c r="H9" s="17">
        <f>'入力'!$B$24*'入力'!$F$24</f>
        <v/>
      </c>
      <c r="I9" s="17">
        <f>'入力'!$B$24*'入力'!$G$24</f>
        <v/>
      </c>
      <c r="J9" s="17">
        <f>'入力'!$B$24*'入力'!$H$24</f>
        <v/>
      </c>
    </row>
    <row r="10">
      <c r="A10" s="4" t="inlineStr">
        <is>
          <t>その他の配信中(変更なし)</t>
        </is>
      </c>
      <c r="B10" s="4">
        <f>'入力'!$F$25</f>
        <v/>
      </c>
      <c r="C10" s="4">
        <f>'入力'!$G$25</f>
        <v/>
      </c>
      <c r="D10" s="4">
        <f>'入力'!$H$25</f>
        <v/>
      </c>
      <c r="E10" s="17">
        <f>IF('入力'!$F$25&gt;0,'入力'!$B$25,0)</f>
        <v/>
      </c>
      <c r="F10" s="17">
        <f>IF('入力'!$G$25&gt;0,'入力'!$B$25,0)</f>
        <v/>
      </c>
      <c r="G10" s="17">
        <f>IF('入力'!$H$25&gt;0,'入力'!$B$25,0)</f>
        <v/>
      </c>
      <c r="H10" s="17">
        <f>'入力'!$B$25*'入力'!$F$25</f>
        <v/>
      </c>
      <c r="I10" s="17">
        <f>'入力'!$B$25*'入力'!$G$25</f>
        <v/>
      </c>
      <c r="J10" s="17">
        <f>'入力'!$B$25*'入力'!$H$25</f>
        <v/>
      </c>
    </row>
    <row r="11">
      <c r="A11" s="18" t="inlineStr">
        <is>
          <t>合計</t>
        </is>
      </c>
      <c r="E11" s="19">
        <f>SUM(E5:E10)</f>
        <v/>
      </c>
      <c r="F11" s="19">
        <f>SUM(F5:F10)</f>
        <v/>
      </c>
      <c r="G11" s="19">
        <f>SUM(G5:G10)</f>
        <v/>
      </c>
      <c r="H11" s="19">
        <f>SUM(H5:H10)</f>
        <v/>
      </c>
      <c r="I11" s="19">
        <f>SUM(I5:I10)</f>
        <v/>
      </c>
      <c r="J11" s="19">
        <f>SUM(J5:J10)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3" customWidth="1" min="4" max="4"/>
    <col width="14" customWidth="1" min="5" max="5"/>
    <col width="14" customWidth="1" min="6" max="6"/>
    <col width="3" customWidth="1" min="7" max="7"/>
    <col width="14" customWidth="1" min="8" max="8"/>
    <col width="14" customWidth="1" min="9" max="9"/>
  </cols>
  <sheetData>
    <row r="1">
      <c r="A1" s="1" t="inlineStr">
        <is>
          <t>④ 費用計算: 既読件数 = 医師数 × 年間配信回数 × 1配信あたり既読率 / 費用 = 既読件数 × 既読単価</t>
        </is>
      </c>
    </row>
    <row r="2">
      <c r="A2" s="2" t="inlineStr">
        <is>
          <t>現状費用は回答医師分(全医師10,000名では既読8,192件・327.7万円)。配信設定・運用・制作費は未確認(①で入力)</t>
        </is>
      </c>
    </row>
    <row r="5">
      <c r="A5" s="3" t="inlineStr">
        <is>
          <t>群</t>
        </is>
      </c>
      <c r="B5" s="3" t="inlineStr">
        <is>
          <t>既読件数_現状</t>
        </is>
      </c>
      <c r="C5" s="3" t="inlineStr">
        <is>
          <t>費用_現状</t>
        </is>
      </c>
      <c r="D5" s="3" t="inlineStr"/>
      <c r="E5" s="3" t="inlineStr">
        <is>
          <t>既読件数_A案</t>
        </is>
      </c>
      <c r="F5" s="3" t="inlineStr">
        <is>
          <t>既読件数_B案</t>
        </is>
      </c>
      <c r="G5" s="3" t="inlineStr"/>
      <c r="H5" s="3" t="inlineStr">
        <is>
          <t>費用_A案</t>
        </is>
      </c>
      <c r="I5" s="3" t="inlineStr">
        <is>
          <t>費用_B案</t>
        </is>
      </c>
    </row>
    <row r="6">
      <c r="A6" s="4" t="inlineStr">
        <is>
          <t>① 未接触・潜在8人以上(重点医師)</t>
        </is>
      </c>
      <c r="B6" s="20">
        <f>'入力'!$B$20*'入力'!$F$20*'入力'!$D$20</f>
        <v/>
      </c>
      <c r="C6" s="17">
        <f>B6*unit_price</f>
        <v/>
      </c>
      <c r="E6" s="20">
        <f>'入力'!$B$20*'入力'!$G$20*'入力'!$D$20</f>
        <v/>
      </c>
      <c r="F6" s="20">
        <f>'入力'!$B$20*'入力'!$H$20*'入力'!$D$20</f>
        <v/>
      </c>
      <c r="H6" s="17">
        <f>E6*unit_price</f>
        <v/>
      </c>
      <c r="I6" s="17">
        <f>F6*unit_price</f>
        <v/>
      </c>
    </row>
    <row r="7">
      <c r="A7" s="4" t="inlineStr">
        <is>
          <t>② 配信中・潜在8人以上(重点医師)</t>
        </is>
      </c>
      <c r="B7" s="20">
        <f>'入力'!$B$21*'入力'!$F$21*'入力'!$D$21</f>
        <v/>
      </c>
      <c r="C7" s="17">
        <f>B7*unit_price</f>
        <v/>
      </c>
      <c r="E7" s="20">
        <f>'入力'!$B$21*'入力'!$G$21*'入力'!$D$21</f>
        <v/>
      </c>
      <c r="F7" s="20">
        <f>'入力'!$B$21*'入力'!$H$21*'入力'!$D$21</f>
        <v/>
      </c>
      <c r="H7" s="17">
        <f>E7*unit_price</f>
        <v/>
      </c>
      <c r="I7" s="17">
        <f>F7*unit_price</f>
        <v/>
      </c>
    </row>
    <row r="8">
      <c r="A8" s="4" t="inlineStr">
        <is>
          <t>③ 配信中・潜在0〜2人(財源)</t>
        </is>
      </c>
      <c r="B8" s="20">
        <f>'入力'!$B$22*'入力'!$F$22*'入力'!$D$22</f>
        <v/>
      </c>
      <c r="C8" s="17">
        <f>B8*unit_price</f>
        <v/>
      </c>
      <c r="E8" s="20">
        <f>'入力'!$B$22*'入力'!$G$22*'入力'!$D$22</f>
        <v/>
      </c>
      <c r="F8" s="20">
        <f>'入力'!$B$22*'入力'!$H$22*'入力'!$D$22</f>
        <v/>
      </c>
      <c r="H8" s="17">
        <f>E8*unit_price</f>
        <v/>
      </c>
      <c r="I8" s="17">
        <f>F8*unit_price</f>
        <v/>
      </c>
    </row>
    <row r="9">
      <c r="A9" s="4" t="inlineStr">
        <is>
          <t>④ MR面談あり・潜在8人以上(重点医師、配信中)</t>
        </is>
      </c>
      <c r="B9" s="20">
        <f>'入力'!$B$23*'入力'!$F$23*'入力'!$D$23</f>
        <v/>
      </c>
      <c r="C9" s="17">
        <f>B9*unit_price</f>
        <v/>
      </c>
      <c r="E9" s="20">
        <f>'入力'!$B$23*'入力'!$G$23*'入力'!$D$23</f>
        <v/>
      </c>
      <c r="F9" s="20">
        <f>'入力'!$B$23*'入力'!$H$23*'入力'!$D$23</f>
        <v/>
      </c>
      <c r="H9" s="17">
        <f>E9*unit_price</f>
        <v/>
      </c>
      <c r="I9" s="17">
        <f>F9*unit_price</f>
        <v/>
      </c>
    </row>
    <row r="10">
      <c r="A10" s="4" t="inlineStr">
        <is>
          <t>⑤ 未接触・潜在5〜7人(B案で追加)</t>
        </is>
      </c>
      <c r="B10" s="20">
        <f>'入力'!$B$24*'入力'!$F$24*'入力'!$D$24</f>
        <v/>
      </c>
      <c r="C10" s="17">
        <f>B10*unit_price</f>
        <v/>
      </c>
      <c r="E10" s="20">
        <f>'入力'!$B$24*'入力'!$G$24*'入力'!$D$24</f>
        <v/>
      </c>
      <c r="F10" s="20">
        <f>'入力'!$B$24*'入力'!$H$24*'入力'!$D$24</f>
        <v/>
      </c>
      <c r="H10" s="17">
        <f>E10*unit_price</f>
        <v/>
      </c>
      <c r="I10" s="17">
        <f>F10*unit_price</f>
        <v/>
      </c>
    </row>
    <row r="11">
      <c r="A11" s="4" t="inlineStr">
        <is>
          <t>その他の配信中(変更なし)</t>
        </is>
      </c>
      <c r="B11" s="20">
        <f>'入力'!$B$25*'入力'!$F$25*'入力'!$D$25</f>
        <v/>
      </c>
      <c r="C11" s="17">
        <f>B11*unit_price</f>
        <v/>
      </c>
      <c r="E11" s="20">
        <f>'入力'!$B$25*'入力'!$G$25*'入力'!$D$25</f>
        <v/>
      </c>
      <c r="F11" s="20">
        <f>'入力'!$B$25*'入力'!$H$25*'入力'!$D$25</f>
        <v/>
      </c>
      <c r="H11" s="17">
        <f>E11*unit_price</f>
        <v/>
      </c>
      <c r="I11" s="17">
        <f>F11*unit_price</f>
        <v/>
      </c>
    </row>
    <row r="12">
      <c r="A12" s="18" t="inlineStr">
        <is>
          <t>既読費用 合計</t>
        </is>
      </c>
      <c r="B12" s="19">
        <f>SUM(B6:B11)</f>
        <v/>
      </c>
      <c r="C12" s="19">
        <f>SUM(C6:C11)</f>
        <v/>
      </c>
      <c r="E12" s="19">
        <f>SUM(E6:E11)</f>
        <v/>
      </c>
      <c r="F12" s="19">
        <f>SUM(F6:F11)</f>
        <v/>
      </c>
      <c r="H12" s="19">
        <f>SUM(H6:H11)</f>
        <v/>
      </c>
      <c r="I12" s="19">
        <f>SUM(I6:I11)</f>
        <v/>
      </c>
    </row>
    <row r="13">
      <c r="A13" s="4" t="inlineStr">
        <is>
          <t>制作費・運用費(未確認)</t>
        </is>
      </c>
      <c r="C13" s="17" t="n">
        <v>0</v>
      </c>
      <c r="H13" s="17">
        <f>prod_cost+ops_cost</f>
        <v/>
      </c>
      <c r="I13" s="17">
        <f>prod_cost+ops_cost</f>
        <v/>
      </c>
    </row>
    <row r="14">
      <c r="A14" s="18" t="inlineStr">
        <is>
          <t>総費用</t>
        </is>
      </c>
      <c r="C14" s="19">
        <f>C12+C13</f>
        <v/>
      </c>
      <c r="H14" s="19">
        <f>H12+H13</f>
        <v/>
      </c>
      <c r="I14" s="19">
        <f>I12+I13</f>
        <v/>
      </c>
    </row>
    <row r="15">
      <c r="A15" s="18" t="inlineStr">
        <is>
          <t>現状からの追加費用</t>
        </is>
      </c>
      <c r="H15" s="19">
        <f>H14-C14</f>
        <v/>
      </c>
      <c r="I15" s="19">
        <f>I14-C14</f>
        <v/>
      </c>
    </row>
    <row r="16">
      <c r="A16" s="18" t="inlineStr">
        <is>
          <t>予算判定(A案は現状費用以内か)</t>
        </is>
      </c>
      <c r="H16" s="18">
        <f>IF(H14&lt;=C14,"予算内","予算超過")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⑤ 売上試算: 既読医師率(f回) = 1 −(1 − 10回時の既読医師率)^(f/10) / 追加処方患者 = 既読医師の増減 × 1人あたり潜在未処方 × 翌年比 × 増分転換率</t>
        </is>
      </c>
    </row>
    <row r="2">
      <c r="A2" s="2" t="inlineStr">
        <is>
          <t>翌年比 = 平均への回帰の補正(潜在の多い医師は翌年に潜在が減り、少ない医師は増える)。配信を減らす③は、失う効果を同じ転換率で差し引く。施策②(配信順)の上乗せは含めない。現状との差のみ。各医師は1つの群だけに属するため二重計上はない。売上であり利益ではない</t>
        </is>
      </c>
    </row>
    <row r="3">
      <c r="H3" s="21" t="inlineStr">
        <is>
          <t>追加処方患者(人)</t>
        </is>
      </c>
    </row>
    <row r="4">
      <c r="A4" s="3" t="inlineStr">
        <is>
          <t>群</t>
        </is>
      </c>
      <c r="B4" s="3" t="inlineStr">
        <is>
          <t>1人あたり潜在未処方</t>
        </is>
      </c>
      <c r="C4" s="3" t="inlineStr">
        <is>
          <t>既読医師率_現状</t>
        </is>
      </c>
      <c r="D4" s="3" t="inlineStr">
        <is>
          <t>既読医師率_A案</t>
        </is>
      </c>
      <c r="E4" s="3" t="inlineStr">
        <is>
          <t>既読医師率_B案</t>
        </is>
      </c>
      <c r="F4" s="3" t="inlineStr">
        <is>
          <t>既読医師の増減_A案</t>
        </is>
      </c>
      <c r="G4" s="3" t="inlineStr">
        <is>
          <t>既読医師の増減_B案</t>
        </is>
      </c>
      <c r="H4" s="3" t="inlineStr">
        <is>
          <t>A案_保守</t>
        </is>
      </c>
      <c r="I4" s="3" t="inlineStr">
        <is>
          <t>A案_基準</t>
        </is>
      </c>
      <c r="J4" s="3" t="inlineStr">
        <is>
          <t>A案_楽観</t>
        </is>
      </c>
      <c r="K4" s="3" t="inlineStr">
        <is>
          <t>B案_保守</t>
        </is>
      </c>
      <c r="L4" s="3" t="inlineStr">
        <is>
          <t>B案_基準</t>
        </is>
      </c>
      <c r="M4" s="3" t="inlineStr">
        <is>
          <t>B案_楽観</t>
        </is>
      </c>
    </row>
    <row r="5">
      <c r="A5" s="4" t="inlineStr">
        <is>
          <t>① 未接触・潜在8人以上(重点医師)</t>
        </is>
      </c>
      <c r="B5" s="22">
        <f>'入力'!$C$20/'入力'!$B$20</f>
        <v/>
      </c>
      <c r="C5" s="23">
        <f>IF(OR('入力'!$E$20="",'入力'!$F$20=0),0,1-(1-'入力'!$E$20)^('入力'!$F$20/10))</f>
        <v/>
      </c>
      <c r="D5" s="23">
        <f>IF(OR('入力'!$E$20="",'入力'!$G$20=0),0,1-(1-'入力'!$E$20)^('入力'!$G$20/10))</f>
        <v/>
      </c>
      <c r="E5" s="23">
        <f>IF(OR('入力'!$E$20="",'入力'!$H$20=0),0,1-(1-'入力'!$E$20)^('入力'!$H$20/10))</f>
        <v/>
      </c>
      <c r="F5" s="20">
        <f>IF('入力'!$E$20="",0,'入力'!$B$20*(D5-C5))</f>
        <v/>
      </c>
      <c r="G5" s="20">
        <f>IF('入力'!$E$20="",0,'入力'!$B$20*(E5-C5))</f>
        <v/>
      </c>
      <c r="H5" s="20">
        <f>F5*B5*'入力'!$I$20*conv_low</f>
        <v/>
      </c>
      <c r="I5" s="20">
        <f>F5*B5*'入力'!$I$20*conv_base</f>
        <v/>
      </c>
      <c r="J5" s="20">
        <f>F5*B5*'入力'!$I$20*conv_high</f>
        <v/>
      </c>
      <c r="K5" s="20">
        <f>G5*B5*'入力'!$I$20*conv_low</f>
        <v/>
      </c>
      <c r="L5" s="20">
        <f>G5*B5*'入力'!$I$20*conv_base</f>
        <v/>
      </c>
      <c r="M5" s="20">
        <f>G5*B5*'入力'!$I$20*conv_high</f>
        <v/>
      </c>
    </row>
    <row r="6">
      <c r="A6" s="4" t="inlineStr">
        <is>
          <t>② 配信中・潜在8人以上(重点医師)</t>
        </is>
      </c>
      <c r="B6" s="22">
        <f>'入力'!$C$21/'入力'!$B$21</f>
        <v/>
      </c>
      <c r="C6" s="23">
        <f>IF(OR('入力'!$E$21="",'入力'!$F$21=0),0,1-(1-'入力'!$E$21)^('入力'!$F$21/10))</f>
        <v/>
      </c>
      <c r="D6" s="23">
        <f>IF(OR('入力'!$E$21="",'入力'!$G$21=0),0,1-(1-'入力'!$E$21)^('入力'!$G$21/10))</f>
        <v/>
      </c>
      <c r="E6" s="23">
        <f>IF(OR('入力'!$E$21="",'入力'!$H$21=0),0,1-(1-'入力'!$E$21)^('入力'!$H$21/10))</f>
        <v/>
      </c>
      <c r="F6" s="20">
        <f>IF('入力'!$E$21="",0,'入力'!$B$21*(D6-C6))</f>
        <v/>
      </c>
      <c r="G6" s="20">
        <f>IF('入力'!$E$21="",0,'入力'!$B$21*(E6-C6))</f>
        <v/>
      </c>
      <c r="H6" s="20">
        <f>F6*B6*'入力'!$I$21*conv_low</f>
        <v/>
      </c>
      <c r="I6" s="20">
        <f>F6*B6*'入力'!$I$21*conv_base</f>
        <v/>
      </c>
      <c r="J6" s="20">
        <f>F6*B6*'入力'!$I$21*conv_high</f>
        <v/>
      </c>
      <c r="K6" s="20">
        <f>G6*B6*'入力'!$I$21*conv_low</f>
        <v/>
      </c>
      <c r="L6" s="20">
        <f>G6*B6*'入力'!$I$21*conv_base</f>
        <v/>
      </c>
      <c r="M6" s="20">
        <f>G6*B6*'入力'!$I$21*conv_high</f>
        <v/>
      </c>
    </row>
    <row r="7">
      <c r="A7" s="4" t="inlineStr">
        <is>
          <t>③ 配信中・潜在0〜2人(財源)</t>
        </is>
      </c>
      <c r="B7" s="22">
        <f>'入力'!$C$22/'入力'!$B$22</f>
        <v/>
      </c>
      <c r="C7" s="23">
        <f>IF(OR('入力'!$E$22="",'入力'!$F$22=0),0,1-(1-'入力'!$E$22)^('入力'!$F$22/10))</f>
        <v/>
      </c>
      <c r="D7" s="23">
        <f>IF(OR('入力'!$E$22="",'入力'!$G$22=0),0,1-(1-'入力'!$E$22)^('入力'!$G$22/10))</f>
        <v/>
      </c>
      <c r="E7" s="23">
        <f>IF(OR('入力'!$E$22="",'入力'!$H$22=0),0,1-(1-'入力'!$E$22)^('入力'!$H$22/10))</f>
        <v/>
      </c>
      <c r="F7" s="20">
        <f>IF('入力'!$E$22="",0,'入力'!$B$22*(D7-C7))</f>
        <v/>
      </c>
      <c r="G7" s="20">
        <f>IF('入力'!$E$22="",0,'入力'!$B$22*(E7-C7))</f>
        <v/>
      </c>
      <c r="H7" s="20">
        <f>F7*B7*'入力'!$I$22*conv_low</f>
        <v/>
      </c>
      <c r="I7" s="20">
        <f>F7*B7*'入力'!$I$22*conv_base</f>
        <v/>
      </c>
      <c r="J7" s="20">
        <f>F7*B7*'入力'!$I$22*conv_high</f>
        <v/>
      </c>
      <c r="K7" s="20">
        <f>G7*B7*'入力'!$I$22*conv_low</f>
        <v/>
      </c>
      <c r="L7" s="20">
        <f>G7*B7*'入力'!$I$22*conv_base</f>
        <v/>
      </c>
      <c r="M7" s="20">
        <f>G7*B7*'入力'!$I$22*conv_high</f>
        <v/>
      </c>
    </row>
    <row r="8">
      <c r="A8" s="4" t="inlineStr">
        <is>
          <t>④ MR面談あり・潜在8人以上(重点医師、配信中)</t>
        </is>
      </c>
      <c r="B8" s="22">
        <f>'入力'!$C$23/'入力'!$B$23</f>
        <v/>
      </c>
      <c r="C8" s="23">
        <f>IF(OR('入力'!$E$23="",'入力'!$F$23=0),0,1-(1-'入力'!$E$23)^('入力'!$F$23/10))</f>
        <v/>
      </c>
      <c r="D8" s="23">
        <f>IF(OR('入力'!$E$23="",'入力'!$G$23=0),0,1-(1-'入力'!$E$23)^('入力'!$G$23/10))</f>
        <v/>
      </c>
      <c r="E8" s="23">
        <f>IF(OR('入力'!$E$23="",'入力'!$H$23=0),0,1-(1-'入力'!$E$23)^('入力'!$H$23/10))</f>
        <v/>
      </c>
      <c r="F8" s="20">
        <f>IF('入力'!$E$23="",0,'入力'!$B$23*(D8-C8))</f>
        <v/>
      </c>
      <c r="G8" s="20">
        <f>IF('入力'!$E$23="",0,'入力'!$B$23*(E8-C8))</f>
        <v/>
      </c>
      <c r="H8" s="20">
        <f>F8*B8*'入力'!$I$23*conv_low</f>
        <v/>
      </c>
      <c r="I8" s="20">
        <f>F8*B8*'入力'!$I$23*conv_base</f>
        <v/>
      </c>
      <c r="J8" s="20">
        <f>F8*B8*'入力'!$I$23*conv_high</f>
        <v/>
      </c>
      <c r="K8" s="20">
        <f>G8*B8*'入力'!$I$23*conv_low</f>
        <v/>
      </c>
      <c r="L8" s="20">
        <f>G8*B8*'入力'!$I$23*conv_base</f>
        <v/>
      </c>
      <c r="M8" s="20">
        <f>G8*B8*'入力'!$I$23*conv_high</f>
        <v/>
      </c>
    </row>
    <row r="9">
      <c r="A9" s="4" t="inlineStr">
        <is>
          <t>⑤ 未接触・潜在5〜7人(B案で追加)</t>
        </is>
      </c>
      <c r="B9" s="22">
        <f>'入力'!$C$24/'入力'!$B$24</f>
        <v/>
      </c>
      <c r="C9" s="23">
        <f>IF(OR('入力'!$E$24="",'入力'!$F$24=0),0,1-(1-'入力'!$E$24)^('入力'!$F$24/10))</f>
        <v/>
      </c>
      <c r="D9" s="23">
        <f>IF(OR('入力'!$E$24="",'入力'!$G$24=0),0,1-(1-'入力'!$E$24)^('入力'!$G$24/10))</f>
        <v/>
      </c>
      <c r="E9" s="23">
        <f>IF(OR('入力'!$E$24="",'入力'!$H$24=0),0,1-(1-'入力'!$E$24)^('入力'!$H$24/10))</f>
        <v/>
      </c>
      <c r="F9" s="20">
        <f>IF('入力'!$E$24="",0,'入力'!$B$24*(D9-C9))</f>
        <v/>
      </c>
      <c r="G9" s="20">
        <f>IF('入力'!$E$24="",0,'入力'!$B$24*(E9-C9))</f>
        <v/>
      </c>
      <c r="H9" s="20">
        <f>F9*B9*'入力'!$I$24*conv_low</f>
        <v/>
      </c>
      <c r="I9" s="20">
        <f>F9*B9*'入力'!$I$24*conv_base</f>
        <v/>
      </c>
      <c r="J9" s="20">
        <f>F9*B9*'入力'!$I$24*conv_high</f>
        <v/>
      </c>
      <c r="K9" s="20">
        <f>G9*B9*'入力'!$I$24*conv_low</f>
        <v/>
      </c>
      <c r="L9" s="20">
        <f>G9*B9*'入力'!$I$24*conv_base</f>
        <v/>
      </c>
      <c r="M9" s="20">
        <f>G9*B9*'入力'!$I$24*conv_high</f>
        <v/>
      </c>
    </row>
    <row r="10">
      <c r="A10" s="4" t="inlineStr">
        <is>
          <t>その他の配信中(変更なし)</t>
        </is>
      </c>
      <c r="B10" s="22">
        <f>'入力'!$C$25/'入力'!$B$25</f>
        <v/>
      </c>
      <c r="C10" s="23">
        <f>IF(OR('入力'!$E$25="",'入力'!$F$25=0),0,1-(1-'入力'!$E$25)^('入力'!$F$25/10))</f>
        <v/>
      </c>
      <c r="D10" s="23">
        <f>IF(OR('入力'!$E$25="",'入力'!$G$25=0),0,1-(1-'入力'!$E$25)^('入力'!$G$25/10))</f>
        <v/>
      </c>
      <c r="E10" s="23">
        <f>IF(OR('入力'!$E$25="",'入力'!$H$25=0),0,1-(1-'入力'!$E$25)^('入力'!$H$25/10))</f>
        <v/>
      </c>
      <c r="F10" s="20">
        <f>IF('入力'!$E$25="",0,'入力'!$B$25*(D10-C10))</f>
        <v/>
      </c>
      <c r="G10" s="20">
        <f>IF('入力'!$E$25="",0,'入力'!$B$25*(E10-C10))</f>
        <v/>
      </c>
      <c r="H10" s="20">
        <f>F10*B10*'入力'!$I$25*conv_low</f>
        <v/>
      </c>
      <c r="I10" s="20">
        <f>F10*B10*'入力'!$I$25*conv_base</f>
        <v/>
      </c>
      <c r="J10" s="20">
        <f>F10*B10*'入力'!$I$25*conv_high</f>
        <v/>
      </c>
      <c r="K10" s="20">
        <f>G10*B10*'入力'!$I$25*conv_low</f>
        <v/>
      </c>
      <c r="L10" s="20">
        <f>G10*B10*'入力'!$I$25*conv_base</f>
        <v/>
      </c>
      <c r="M10" s="20">
        <f>G10*B10*'入力'!$I$25*conv_high</f>
        <v/>
      </c>
    </row>
    <row r="11">
      <c r="A11" s="18" t="inlineStr">
        <is>
          <t>追加処方患者 合計</t>
        </is>
      </c>
      <c r="F11" s="24">
        <f>SUM(F5:F10)</f>
        <v/>
      </c>
      <c r="G11" s="24">
        <f>SUM(G5:G10)</f>
        <v/>
      </c>
      <c r="H11" s="24">
        <f>SUM(H5:H10)</f>
        <v/>
      </c>
      <c r="I11" s="24">
        <f>SUM(I5:I10)</f>
        <v/>
      </c>
      <c r="J11" s="24">
        <f>SUM(J5:J10)</f>
        <v/>
      </c>
      <c r="K11" s="24">
        <f>SUM(K5:K10)</f>
        <v/>
      </c>
      <c r="L11" s="24">
        <f>SUM(L5:L10)</f>
        <v/>
      </c>
      <c r="M11" s="24">
        <f>SUM(M5:M10)</f>
        <v/>
      </c>
    </row>
    <row r="12">
      <c r="A12" s="18" t="inlineStr">
        <is>
          <t>追加売上(円) = 追加処方患者 × 処方患者1人あたり年間売上</t>
        </is>
      </c>
      <c r="H12" s="19">
        <f>H11*sales_per_pt</f>
        <v/>
      </c>
      <c r="I12" s="19">
        <f>I11*sales_per_pt</f>
        <v/>
      </c>
      <c r="J12" s="19">
        <f>J11*sales_per_pt</f>
        <v/>
      </c>
      <c r="K12" s="19">
        <f>K11*sales_per_pt</f>
        <v/>
      </c>
      <c r="L12" s="19">
        <f>L11*sales_per_pt</f>
        <v/>
      </c>
      <c r="M12" s="19">
        <f>M11*sales_per_pt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8" customWidth="1" min="3" max="3"/>
    <col width="18" customWidth="1" min="4" max="4"/>
    <col width="16" customWidth="1" min="5" max="5"/>
  </cols>
  <sheetData>
    <row r="1">
      <c r="A1" s="1" t="inlineStr">
        <is>
          <t>⑥ シナリオ比較: A案(予算維持型)とB案(追加投資型)</t>
        </is>
      </c>
    </row>
    <row r="2">
      <c r="A2" s="2" t="inlineStr">
        <is>
          <t>A案: ①未接触の重点医師191名に新規配信(年12回)、②配信中の重点医師392名を年10回→12回、③潜在0〜2人の993名を年10回→6回(財源)。B案: A案+⑤未接触・潜在5〜7人の260名に新規配信(年12回)</t>
        </is>
      </c>
    </row>
    <row r="4">
      <c r="A4" s="3" t="inlineStr">
        <is>
          <t>項目</t>
        </is>
      </c>
      <c r="B4" s="3" t="inlineStr">
        <is>
          <t>現状</t>
        </is>
      </c>
      <c r="C4" s="3" t="inlineStr">
        <is>
          <t>A案 予算維持型</t>
        </is>
      </c>
      <c r="D4" s="3" t="inlineStr">
        <is>
          <t>B案 追加投資型</t>
        </is>
      </c>
      <c r="E4" s="3" t="inlineStr">
        <is>
          <t>B案 − A案</t>
        </is>
      </c>
    </row>
    <row r="5">
      <c r="A5" s="4" t="inlineStr">
        <is>
          <t>配信対象医師数(名)</t>
        </is>
      </c>
      <c r="B5" s="17">
        <f>'③配信計画'!E11</f>
        <v/>
      </c>
      <c r="C5" s="17">
        <f>'③配信計画'!F11</f>
        <v/>
      </c>
      <c r="D5" s="17">
        <f>'③配信計画'!G11</f>
        <v/>
      </c>
      <c r="E5" s="17">
        <f>D5-C5</f>
        <v/>
      </c>
    </row>
    <row r="6">
      <c r="A6" s="4" t="inlineStr">
        <is>
          <t>配信件数(件)</t>
        </is>
      </c>
      <c r="B6" s="17">
        <f>'③配信計画'!H11</f>
        <v/>
      </c>
      <c r="C6" s="17">
        <f>'③配信計画'!I11</f>
        <v/>
      </c>
      <c r="D6" s="17">
        <f>'③配信計画'!J11</f>
        <v/>
      </c>
      <c r="E6" s="17">
        <f>D6-C6</f>
        <v/>
      </c>
    </row>
    <row r="7">
      <c r="A7" s="4" t="inlineStr">
        <is>
          <t>想定既読件数(件)</t>
        </is>
      </c>
      <c r="B7" s="17">
        <f>'④費用計算'!B12</f>
        <v/>
      </c>
      <c r="C7" s="17">
        <f>'④費用計算'!E12</f>
        <v/>
      </c>
      <c r="D7" s="17">
        <f>'④費用計算'!F12</f>
        <v/>
      </c>
      <c r="E7" s="17">
        <f>D7-C7</f>
        <v/>
      </c>
    </row>
    <row r="8">
      <c r="A8" s="4" t="inlineStr">
        <is>
          <t>費用(円)</t>
        </is>
      </c>
      <c r="B8" s="17">
        <f>'④費用計算'!C14</f>
        <v/>
      </c>
      <c r="C8" s="17">
        <f>'④費用計算'!H14</f>
        <v/>
      </c>
      <c r="D8" s="17">
        <f>'④費用計算'!I14</f>
        <v/>
      </c>
      <c r="E8" s="17">
        <f>D8-C8</f>
        <v/>
      </c>
    </row>
    <row r="9">
      <c r="A9" s="4" t="inlineStr">
        <is>
          <t>現状からの追加費用(円)</t>
        </is>
      </c>
      <c r="B9" s="17" t="n">
        <v>0</v>
      </c>
      <c r="C9" s="17">
        <f>C8-$B$8</f>
        <v/>
      </c>
      <c r="D9" s="17">
        <f>D8-$B$8</f>
        <v/>
      </c>
      <c r="E9" s="17">
        <f>D9-C9</f>
        <v/>
      </c>
    </row>
    <row r="10">
      <c r="A10" s="4" t="inlineStr">
        <is>
          <t>潜在患者カバー数(人)</t>
        </is>
      </c>
      <c r="B10" s="17">
        <f>SUMPRODUCT(('入力'!$F$20:$F$25&gt;0)*'入力'!$C$20:$C$25)</f>
        <v/>
      </c>
      <c r="C10" s="17">
        <f>SUMPRODUCT(('入力'!$G$20:$G$25&gt;0)*'入力'!$C$20:$C$25)</f>
        <v/>
      </c>
      <c r="D10" s="17">
        <f>SUMPRODUCT(('入力'!$H$20:$H$25&gt;0)*'入力'!$C$20:$C$25)</f>
        <v/>
      </c>
      <c r="E10" s="17">
        <f>D10-C10</f>
        <v/>
      </c>
    </row>
    <row r="11">
      <c r="A11" s="4" t="inlineStr">
        <is>
          <t>追加処方患者_保守(人)</t>
        </is>
      </c>
      <c r="B11" s="20" t="n">
        <v>0</v>
      </c>
      <c r="C11" s="20">
        <f>'⑤売上試算'!H11</f>
        <v/>
      </c>
      <c r="D11" s="20">
        <f>'⑤売上試算'!K11</f>
        <v/>
      </c>
      <c r="E11" s="20">
        <f>D11-C11</f>
        <v/>
      </c>
    </row>
    <row r="12">
      <c r="A12" s="4" t="inlineStr">
        <is>
          <t>追加処方患者_基準(人)</t>
        </is>
      </c>
      <c r="B12" s="20" t="n">
        <v>0</v>
      </c>
      <c r="C12" s="20">
        <f>'⑤売上試算'!I11</f>
        <v/>
      </c>
      <c r="D12" s="20">
        <f>'⑤売上試算'!L11</f>
        <v/>
      </c>
      <c r="E12" s="20">
        <f>D12-C12</f>
        <v/>
      </c>
    </row>
    <row r="13">
      <c r="A13" s="4" t="inlineStr">
        <is>
          <t>追加処方患者_楽観(人)</t>
        </is>
      </c>
      <c r="B13" s="20" t="n">
        <v>0</v>
      </c>
      <c r="C13" s="20">
        <f>'⑤売上試算'!J11</f>
        <v/>
      </c>
      <c r="D13" s="20">
        <f>'⑤売上試算'!M11</f>
        <v/>
      </c>
      <c r="E13" s="20">
        <f>D13-C13</f>
        <v/>
      </c>
    </row>
    <row r="14">
      <c r="A14" s="4" t="inlineStr">
        <is>
          <t>追加売上_保守(円)</t>
        </is>
      </c>
      <c r="B14" s="17" t="n">
        <v>0</v>
      </c>
      <c r="C14" s="17">
        <f>'⑤売上試算'!H12</f>
        <v/>
      </c>
      <c r="D14" s="17">
        <f>'⑤売上試算'!K12</f>
        <v/>
      </c>
      <c r="E14" s="17">
        <f>D14-C14</f>
        <v/>
      </c>
    </row>
    <row r="15">
      <c r="A15" s="4" t="inlineStr">
        <is>
          <t>追加売上_基準(円)</t>
        </is>
      </c>
      <c r="B15" s="17" t="n">
        <v>0</v>
      </c>
      <c r="C15" s="17">
        <f>'⑤売上試算'!I12</f>
        <v/>
      </c>
      <c r="D15" s="17">
        <f>'⑤売上試算'!L12</f>
        <v/>
      </c>
      <c r="E15" s="17">
        <f>D15-C15</f>
        <v/>
      </c>
    </row>
    <row r="16">
      <c r="A16" s="4" t="inlineStr">
        <is>
          <t>追加売上_楽観(円)</t>
        </is>
      </c>
      <c r="B16" s="17" t="n">
        <v>0</v>
      </c>
      <c r="C16" s="17">
        <f>'⑤売上試算'!J12</f>
        <v/>
      </c>
      <c r="D16" s="17">
        <f>'⑤売上試算'!M12</f>
        <v/>
      </c>
      <c r="E16" s="17">
        <f>D16-C16</f>
        <v/>
      </c>
    </row>
    <row r="17">
      <c r="A17" s="18" t="inlineStr">
        <is>
          <t>費用対効果(追加売上_基準 ÷ 追加費用)</t>
        </is>
      </c>
      <c r="C17" s="25">
        <f>IF(C9&lt;=0,"追加費用なし",C15/C9)</f>
        <v/>
      </c>
      <c r="D17" s="25">
        <f>IF(D9&lt;=0,"追加費用なし",D15/D9)</f>
        <v/>
      </c>
      <c r="E17" s="25">
        <f>IF(E9&lt;=0,"",E15/E9)</f>
        <v/>
      </c>
    </row>
    <row r="18">
      <c r="A18" s="18" t="inlineStr">
        <is>
          <t>費用回収に必要な利益率_保守(追加費用÷追加売上)</t>
        </is>
      </c>
      <c r="C18" s="23">
        <f>IF(C9&lt;=0,"不要",C9/C14)</f>
        <v/>
      </c>
      <c r="D18" s="23">
        <f>IF(D9&lt;=0,"不要",D9/D14)</f>
        <v/>
      </c>
      <c r="E18" s="23">
        <f>IF(E9&lt;=0,"",E9/E14)</f>
        <v/>
      </c>
    </row>
    <row r="19">
      <c r="A19" s="18" t="inlineStr">
        <is>
          <t>費用回収に必要な利益率_基準</t>
        </is>
      </c>
      <c r="C19" s="23">
        <f>IF(C9&lt;=0,"不要",C9/C15)</f>
        <v/>
      </c>
      <c r="D19" s="23">
        <f>IF(D9&lt;=0,"不要",D9/D15)</f>
        <v/>
      </c>
      <c r="E19" s="23">
        <f>IF(E9&lt;=0,"",E9/E15)</f>
        <v/>
      </c>
    </row>
    <row r="20">
      <c r="A20" s="18" t="inlineStr">
        <is>
          <t>予算判定(A案)</t>
        </is>
      </c>
      <c r="C20" s="4">
        <f>IF(C8&lt;=B8,"予算内","予算超過")</f>
        <v/>
      </c>
    </row>
    <row r="22">
      <c r="A22" s="26" t="inlineStr">
        <is>
          <t>表示用(PPTと同じ丸め)</t>
        </is>
      </c>
      <c r="B22" s="26" t="inlineStr">
        <is>
          <t>現状</t>
        </is>
      </c>
      <c r="C22" s="26" t="inlineStr">
        <is>
          <t>A案</t>
        </is>
      </c>
      <c r="D22" s="26" t="inlineStr">
        <is>
          <t>B案</t>
        </is>
      </c>
      <c r="E22" s="26" t="inlineStr">
        <is>
          <t>B案 − A案</t>
        </is>
      </c>
    </row>
    <row r="23">
      <c r="A23" s="4" t="inlineStr">
        <is>
          <t>費用(万円、小数1桁)</t>
        </is>
      </c>
      <c r="B23" s="4">
        <f>ROUND(B8/10000,1)</f>
        <v/>
      </c>
      <c r="C23" s="4">
        <f>ROUND(C8/10000,1)</f>
        <v/>
      </c>
      <c r="D23" s="4">
        <f>ROUND(D8/10000,1)</f>
        <v/>
      </c>
      <c r="E23" s="4">
        <f>ROUND(D8/10000,1)-ROUND(C8/10000,1)</f>
        <v/>
      </c>
    </row>
    <row r="24">
      <c r="A24" s="4" t="inlineStr">
        <is>
          <t>追加費用(万円、小数1桁)</t>
        </is>
      </c>
      <c r="B24" s="4">
        <f>ROUND(B9/10000,1)</f>
        <v/>
      </c>
      <c r="C24" s="4">
        <f>ROUND(C9/10000,1)</f>
        <v/>
      </c>
      <c r="D24" s="4">
        <f>ROUND(D9/10000,1)</f>
        <v/>
      </c>
      <c r="E24" s="4">
        <f>ROUND(D9/10000,1)-ROUND(C9/10000,1)</f>
        <v/>
      </c>
    </row>
    <row r="25">
      <c r="A25" s="4" t="inlineStr">
        <is>
          <t>既読件数</t>
        </is>
      </c>
      <c r="B25" s="4">
        <f>ROUND(B7,0)</f>
        <v/>
      </c>
      <c r="C25" s="4">
        <f>ROUND(C7,0)</f>
        <v/>
      </c>
      <c r="D25" s="4">
        <f>ROUND(D7,0)</f>
        <v/>
      </c>
      <c r="E25" s="4">
        <f>ROUND(D7,0)-ROUND(C7,0)</f>
        <v/>
      </c>
    </row>
    <row r="26">
      <c r="A26" s="4" t="inlineStr">
        <is>
          <t>追加処方患者_保守</t>
        </is>
      </c>
      <c r="B26" s="4">
        <f>ROUND(B11,0)</f>
        <v/>
      </c>
      <c r="C26" s="4">
        <f>ROUND(C11,0)</f>
        <v/>
      </c>
      <c r="D26" s="4">
        <f>ROUND(D11,0)</f>
        <v/>
      </c>
      <c r="E26" s="4">
        <f>ROUND(E11,0)</f>
        <v/>
      </c>
    </row>
    <row r="27">
      <c r="A27" s="4" t="inlineStr">
        <is>
          <t>追加処方患者_基準</t>
        </is>
      </c>
      <c r="B27" s="4">
        <f>ROUND(B12,0)</f>
        <v/>
      </c>
      <c r="C27" s="4">
        <f>ROUND(C12,0)</f>
        <v/>
      </c>
      <c r="D27" s="4">
        <f>ROUND(D12,0)</f>
        <v/>
      </c>
      <c r="E27" s="4">
        <f>ROUND(E12,0)</f>
        <v/>
      </c>
    </row>
    <row r="28">
      <c r="A28" s="4" t="inlineStr">
        <is>
          <t>追加処方患者_楽観</t>
        </is>
      </c>
      <c r="B28" s="4">
        <f>ROUND(B13,0)</f>
        <v/>
      </c>
      <c r="C28" s="4">
        <f>ROUND(C13,0)</f>
        <v/>
      </c>
      <c r="D28" s="4">
        <f>ROUND(D13,0)</f>
        <v/>
      </c>
      <c r="E28" s="4">
        <f>ROUND(E13,0)</f>
        <v/>
      </c>
    </row>
    <row r="29">
      <c r="A29" s="4" t="inlineStr">
        <is>
          <t>追加売上_保守(万円)</t>
        </is>
      </c>
      <c r="B29" s="4">
        <f>ROUND(B14/10000,0)</f>
        <v/>
      </c>
      <c r="C29" s="4">
        <f>ROUND(C14/10000,0)</f>
        <v/>
      </c>
      <c r="D29" s="4">
        <f>ROUND(D14/10000,0)</f>
        <v/>
      </c>
      <c r="E29" s="4">
        <f>ROUND(D14/10000,0)-ROUND(C14/10000,0)</f>
        <v/>
      </c>
    </row>
    <row r="30">
      <c r="A30" s="4" t="inlineStr">
        <is>
          <t>追加売上_基準(万円)</t>
        </is>
      </c>
      <c r="B30" s="4">
        <f>ROUND(B15/10000,0)</f>
        <v/>
      </c>
      <c r="C30" s="4">
        <f>ROUND(C15/10000,0)</f>
        <v/>
      </c>
      <c r="D30" s="4">
        <f>ROUND(D15/10000,0)</f>
        <v/>
      </c>
      <c r="E30" s="4">
        <f>ROUND(D15/10000,0)-ROUND(C15/10000,0)</f>
        <v/>
      </c>
    </row>
    <row r="31">
      <c r="A31" s="4" t="inlineStr">
        <is>
          <t>追加売上_楽観(万円)</t>
        </is>
      </c>
      <c r="B31" s="4">
        <f>ROUND(B16/10000,0)</f>
        <v/>
      </c>
      <c r="C31" s="4">
        <f>ROUND(C16/10000,0)</f>
        <v/>
      </c>
      <c r="D31" s="4">
        <f>ROUND(D16/10000,0)</f>
        <v/>
      </c>
      <c r="E31" s="4">
        <f>ROUND(D16/10000,0)-ROUND(C16/10000,0)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80" customWidth="1" min="1" max="1"/>
  </cols>
  <sheetData>
    <row r="1">
      <c r="A1" s="1" t="inlineStr">
        <is>
          <t>⑦ 計算根拠・注意事項</t>
        </is>
      </c>
    </row>
    <row r="3">
      <c r="A3" s="2" t="inlineStr">
        <is>
          <t>【実測】医師数・潜在未処方・既読件数・既読医師率・翌年比は、2026年・2025年アンケート(回答5,000名)とMR君の配信対象・既読ログ(1年分)から集計(analysis/v5_analysis.py)。</t>
        </is>
      </c>
    </row>
    <row r="4">
      <c r="A4" s="2" t="inlineStr">
        <is>
          <t>【資料】既読単価400円、年間売上50億円、現状の配信は配信対象1名に10本(課題資料)。MR面談・MR君は2025年6月〜2026年6月の活動(データ仕様書)。</t>
        </is>
      </c>
    </row>
    <row r="5">
      <c r="A5" s="2" t="inlineStr">
        <is>
          <t>【施策①】潜在未処方と接触状況で配信対象・回数を決める。①未接触の重点医師に新規配信、②配信中の重点医師を年12回、③潜在0〜2人を隔月(財源)。④MR面談がある重点医師は現状維持。</t>
        </is>
      </c>
    </row>
    <row r="6">
      <c r="A6" s="2" t="inlineStr">
        <is>
          <t>【施策②】診療科ごとに、各特性の代表コンテンツ1本ずつを、その特性を最も重視する医師が多い順に配信(②シートの下の表)。コンテンツはコンテンツ名と主要テーマで分類し、本文は未確認(配信前に確認が必要)。</t>
        </is>
      </c>
    </row>
    <row r="7">
      <c r="A7" s="2" t="inlineStr">
        <is>
          <t xml:space="preserve">  参考(実測): 配信対象の全回答医師3,481名で、本人が最も重視するテーマのコンテンツの既読率は13.9%、その他は11.0%。施策②の上乗せ効果は試算に含めない。</t>
        </is>
      </c>
    </row>
    <row r="8">
      <c r="A8" s="2" t="inlineStr">
        <is>
          <t>【仮定】処方患者1人あたり年間売上 = 50億円 ÷ 全医師の処方患者推計22,560人(回答医師11,280人×10,000/5,000)。全医師10,000名の処方が売上のすべてと仮定。実際の単価が分かれば①で上書き。</t>
        </is>
      </c>
    </row>
    <row r="9">
      <c r="A9" s="2" t="inlineStr">
        <is>
          <t>【仮定】既読医師率のモデル: 年f回配信時 = 1 −(1 − 10回時の既読医師率)^(f/10)。配信ごとの読まれやすさが一定と仮定。10回を超える分は未読の上位コンテンツの再配信。</t>
        </is>
      </c>
    </row>
    <row r="10">
      <c r="A10" s="2" t="inlineStr">
        <is>
          <t>【仮定】①未接触の重点医師の既読率は、配信中・MR面談なしの重点医師(②)の実測値を使う。</t>
        </is>
      </c>
    </row>
    <row r="11">
      <c r="A11" s="2" t="inlineStr">
        <is>
          <t>【補正】平均への回帰: MR面談・MR君の接点がない両年回答医師で、潜在8人以上だった医師の翌年の潜在は0.78倍、5〜7人は1.02倍、0〜2人は2.16倍(全診療科、M1)。翌年の潜在で効果を計算。</t>
        </is>
      </c>
    </row>
    <row r="12">
      <c r="A12" s="2" t="inlineStr">
        <is>
          <t>【仮定】増分転換率(保守1%・基準3%・楽観6%): 既読した医師の潜在未処方のうち、配信によって新たに処方される割合。配信を減らす③で失う効果も同じ値で差し引く。</t>
        </is>
      </c>
    </row>
    <row r="13">
      <c r="A13" s="2" t="inlineStr">
        <is>
          <t xml:space="preserve">  参考値(観察、因果ではない): MR面談のない両年回答2,945名で、配信対象は対象外より処方率の伸びが2.3pt大きかった(95%区間1.1〜3.5pt)。既読医師1人・潜在あたりに換算すると約6.0%(下限2.8%)。楽観=中央、基準=下限、保守=約3分の1。</t>
        </is>
      </c>
    </row>
    <row r="14">
      <c r="A14" s="2" t="inlineStr">
        <is>
          <t>【予測に幅がある理由】①増分転換率(観察データのみ) ②再配信時の既読率(未検証) ③1人あたり売上(単価・処方日数が不明) ④自己申告の患者数(年ごとに変動)。</t>
        </is>
      </c>
    </row>
    <row r="15">
      <c r="A15" s="2" t="inlineStr">
        <is>
          <t>【含めないもの】施策②(配信順)による既読率の上乗せ(KPIで確認)、④MR面談がある重点医師の変化(現状維持)、施策をしなくても起きる処方の変化。</t>
        </is>
      </c>
    </row>
    <row r="16">
      <c r="A16" s="2" t="inlineStr">
        <is>
          <t>【売上と利益】追加売上は売上であり利益ではない。費用との比較は「費用回収に必要な利益率」で示す。</t>
        </is>
      </c>
    </row>
    <row r="17">
      <c r="A17" s="2" t="inlineStr">
        <is>
          <t>【未確認の実施条件】新規配信先の配信資格・同意・配信停止、MR君で医師別・診療科別に配信順・回数を指定できるか、コンテンツ本文の内容確認、制作費・運用費。</t>
        </is>
      </c>
    </row>
    <row r="18">
      <c r="A18" s="2" t="inlineStr">
        <is>
          <t>【対象範囲】回答医師5,000名のみ(非回答の5,000名は患者数が分からないため含めない)。1年間の試算で、2027年の予測ではない。</t>
        </is>
      </c>
    </row>
    <row r="19">
      <c r="A19" s="2" t="inlineStr">
        <is>
          <t>【使わない分析】完読・コンテンツ別の処方効果・動画の長さの分析、医師の重視割合とコンテンツ本数の割合の比較、v3・v4の試算値は使用していない。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2026-10-09T03:21:22Z</dcterms:created>
  <dcterms:modified xmlns:dcterms="http://purl.org/dc/terms/" xmlns:xsi="http://www.w3.org/2001/XMLSchema-instance" xsi:type="dcterms:W3CDTF">2026-10-09T03:21:22Z</dcterms:modified>
</cp:coreProperties>
</file>