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算" sheetId="1" state="visible" r:id="rId1"/>
    <sheet xmlns:r="http://schemas.openxmlformats.org/officeDocument/2006/relationships" name="入力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</font>
    <font>
      <name val="Meiryo"/>
      <b val="1"/>
    </font>
  </fonts>
  <fills count="5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F1F4F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3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  <col width="18" customWidth="1" min="3" max="3"/>
    <col width="18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施策</t>
        </is>
      </c>
      <c r="B1" s="1" t="inlineStr">
        <is>
          <t>計算式(関連100%のとき)</t>
        </is>
      </c>
      <c r="C1" s="1" t="inlineStr">
        <is>
          <t>追加処方患者_下限(人)</t>
        </is>
      </c>
      <c r="D1" s="1" t="inlineStr">
        <is>
          <t>追加処方患者_上限(人)</t>
        </is>
      </c>
      <c r="E1" s="1" t="inlineStr">
        <is>
          <t>増加率_下限</t>
        </is>
      </c>
      <c r="F1" s="1" t="inlineStr">
        <is>
          <t>増加率_上限</t>
        </is>
      </c>
      <c r="G1" s="1" t="inlineStr">
        <is>
          <t>売上目安_下限(億円)</t>
        </is>
      </c>
      <c r="H1" s="1" t="inlineStr">
        <is>
          <t>売上目安_上限(億円)</t>
        </is>
      </c>
    </row>
    <row r="2">
      <c r="A2" s="2" t="inlineStr">
        <is>
          <t>① 配信先の見直し(724名へ配信)</t>
        </is>
      </c>
      <c r="B2" s="2" t="inlineStr">
        <is>
          <t>患者数 × 1人あたり完読本数 × 完読1本の上がり幅</t>
        </is>
      </c>
      <c r="C2" s="3">
        <f>入力!$B$10*入力!$B$11*入力!$B$7/100*入力!$B$5</f>
        <v/>
      </c>
      <c r="D2" s="3">
        <f>入力!$B$10*入力!$B$11*入力!$B$7/100*入力!$B$6</f>
        <v/>
      </c>
      <c r="E2" s="4">
        <f>C2/入力!$B$3</f>
        <v/>
      </c>
      <c r="F2" s="4">
        <f>D2/入力!$B$3</f>
        <v/>
      </c>
      <c r="G2" s="5">
        <f>入力!$B$2*E2</f>
        <v/>
      </c>
      <c r="H2" s="5">
        <f>入力!$B$2*F2</f>
        <v/>
      </c>
    </row>
    <row r="3">
      <c r="A3" s="2" t="inlineStr">
        <is>
          <t>② 3本の入れ替え(C03・C06・C08)</t>
        </is>
      </c>
      <c r="B3" s="2" t="inlineStr">
        <is>
          <t>既読の患者数 × 入替後の完読率 × 上がり幅 − 現在の効果相当</t>
        </is>
      </c>
      <c r="C3" s="3">
        <f>(入力!$B$13*入力!$B$15*入力!$B$7-入力!$B$14)/100*入力!$B$5</f>
        <v/>
      </c>
      <c r="D3" s="3">
        <f>(入力!$B$13*入力!$B$15*入力!$B$7-入力!$B$14)/100*入力!$B$6</f>
        <v/>
      </c>
      <c r="E3" s="4">
        <f>C3/入力!$B$3</f>
        <v/>
      </c>
      <c r="F3" s="4">
        <f>D3/入力!$B$3</f>
        <v/>
      </c>
      <c r="G3" s="5">
        <f>入力!$B$2*E3</f>
        <v/>
      </c>
      <c r="H3" s="5">
        <f>入力!$B$2*F3</f>
        <v/>
      </c>
    </row>
    <row r="4">
      <c r="A4" s="2" t="inlineStr">
        <is>
          <t>③ C10の短縮(300秒→240秒以内)</t>
        </is>
      </c>
      <c r="B4" s="2" t="inlineStr">
        <is>
          <t>(既読の患者数 × 短縮後の完読率 − 現在の完読の患者数) × C10の上がり幅</t>
        </is>
      </c>
      <c r="C4" s="3">
        <f>(入力!$B$16*入力!$B$15-入力!$B$17)*入力!$B$8/100*入力!$B$5</f>
        <v/>
      </c>
      <c r="D4" s="3">
        <f>(入力!$B$16*入力!$B$15-入力!$B$17)*入力!$B$8/100*入力!$B$6</f>
        <v/>
      </c>
      <c r="E4" s="4">
        <f>C4/入力!$B$3</f>
        <v/>
      </c>
      <c r="F4" s="4">
        <f>D4/入力!$B$3</f>
        <v/>
      </c>
      <c r="G4" s="5">
        <f>入力!$B$2*E4</f>
        <v/>
      </c>
      <c r="H4" s="5">
        <f>入力!$B$2*F4</f>
        <v/>
      </c>
    </row>
    <row r="5">
      <c r="A5" s="6" t="inlineStr">
        <is>
          <t>合計</t>
        </is>
      </c>
      <c r="B5" s="6" t="inlineStr"/>
      <c r="C5" s="7">
        <f>SUM(C2:C4)</f>
        <v/>
      </c>
      <c r="D5" s="7">
        <f>SUM(D2:D4)</f>
        <v/>
      </c>
      <c r="E5" s="8">
        <f>C5/入力!$B$3</f>
        <v/>
      </c>
      <c r="F5" s="8">
        <f>D5/入力!$B$3</f>
        <v/>
      </c>
      <c r="G5" s="9">
        <f>入力!$B$2*E5</f>
        <v/>
      </c>
      <c r="H5" s="9">
        <f>入力!$B$2*F5</f>
        <v/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費用(①の追加既読)</t>
        </is>
      </c>
      <c r="B7" s="2" t="inlineStr">
        <is>
          <t>対象医師数 × 1人あたり既読本数 × 既読単価</t>
        </is>
      </c>
      <c r="C7" s="10">
        <f>入力!$B$9*入力!$B$12*入力!$B$4</f>
        <v/>
      </c>
      <c r="D7" s="2" t="inlineStr"/>
      <c r="E7" s="2" t="inlineStr">
        <is>
          <t>円(回答医師5,000名ベース)</t>
        </is>
      </c>
      <c r="F7" s="2" t="n"/>
      <c r="G7" s="2" t="n"/>
      <c r="H7" s="2" t="n"/>
    </row>
    <row r="8">
      <c r="A8" s="2" t="inlineStr">
        <is>
          <t>①の追加処方患者1人あたり費用</t>
        </is>
      </c>
      <c r="B8" s="2" t="inlineStr">
        <is>
          <t>費用 ÷ 追加処方患者</t>
        </is>
      </c>
      <c r="C8" s="10">
        <f>C7/D2</f>
        <v/>
      </c>
      <c r="D8" s="10">
        <f>C7/C2</f>
        <v/>
      </c>
      <c r="E8" s="2" t="inlineStr">
        <is>
          <t>円(左=上限時、右=下限時)</t>
        </is>
      </c>
      <c r="F8" s="2" t="n"/>
      <c r="G8" s="2" t="n"/>
      <c r="H8" s="2" t="n"/>
    </row>
    <row r="9">
      <c r="A9" s="2" t="inlineStr">
        <is>
          <t>②③の費用</t>
        </is>
      </c>
      <c r="B9" s="2" t="inlineStr">
        <is>
          <t>コンテンツの作り直し・短縮の制作費</t>
        </is>
      </c>
      <c r="C9" s="2" t="inlineStr">
        <is>
          <t>要確認</t>
        </is>
      </c>
      <c r="D9" s="2" t="inlineStr"/>
      <c r="E9" s="2" t="inlineStr">
        <is>
          <t>既読件数は変わらないため、既読費用は増えない想定</t>
        </is>
      </c>
      <c r="F9" s="2" t="n"/>
      <c r="G9" s="2" t="n"/>
      <c r="H9" s="2" t="n"/>
    </row>
    <row r="11">
      <c r="A11" t="inlineStr">
        <is>
          <t>前提</t>
        </is>
      </c>
      <c r="B11" t="inlineStr">
        <is>
          <t>売上目安 = 売上50億円 × 処方患者の増加率。回答医師での増加率が、薬剤Aの売上全体にも当てはまると仮定。</t>
        </is>
      </c>
    </row>
    <row r="12">
      <c r="A12" t="inlineStr"/>
      <c r="B12" t="inlineStr">
        <is>
          <t>関連の反映率: 2025→2026年の観察データで見られた関連のうち、施策の効果とみなす割合(下限50%・上限100%)。黄色セル(入力シート)を変えると全体が再計算される。</t>
        </is>
      </c>
    </row>
    <row r="13">
      <c r="A13" t="inlineStr"/>
      <c r="B13" t="inlineStr">
        <is>
          <t>施策①の新規配信先の完読本数は、同じ条件で現在配信されている医師の実測値。②③による完読率の改善は①には含めていない(控えめな想定)。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12" customWidth="1" min="4" max="4"/>
    <col width="80" customWidth="1" min="5" max="5"/>
  </cols>
  <sheetData>
    <row r="1">
      <c r="A1" s="11" t="inlineStr">
        <is>
          <t>項目</t>
        </is>
      </c>
      <c r="B1" s="11" t="inlineStr">
        <is>
          <t>値</t>
        </is>
      </c>
      <c r="C1" s="11" t="inlineStr">
        <is>
          <t>単位</t>
        </is>
      </c>
      <c r="D1" s="11" t="inlineStr">
        <is>
          <t>区分</t>
        </is>
      </c>
      <c r="E1" s="11" t="inlineStr">
        <is>
          <t>出典・計算方法</t>
        </is>
      </c>
    </row>
    <row r="2">
      <c r="A2" s="12" t="inlineStr">
        <is>
          <t>売上</t>
        </is>
      </c>
      <c r="B2" s="13" t="n">
        <v>50</v>
      </c>
      <c r="C2" s="12" t="inlineStr">
        <is>
          <t>億円</t>
        </is>
      </c>
      <c r="D2" s="12" t="inlineStr">
        <is>
          <t>資料</t>
        </is>
      </c>
      <c r="E2" s="12" t="inlineStr">
        <is>
          <t>課題資料: 薬剤Aの年間売上</t>
        </is>
      </c>
    </row>
    <row r="3">
      <c r="A3" s="12" t="inlineStr">
        <is>
          <t>処方患者数_基準</t>
        </is>
      </c>
      <c r="B3" s="13" t="n">
        <v>11280</v>
      </c>
      <c r="C3" s="12" t="inlineStr">
        <is>
          <t>人</t>
        </is>
      </c>
      <c r="D3" s="12" t="inlineStr">
        <is>
          <t>実測</t>
        </is>
      </c>
      <c r="E3" s="12" t="inlineStr">
        <is>
          <t>2026年アンケート回答医師5,000名の薬剤A処方患者数の合計(直近1年・自己申告)</t>
        </is>
      </c>
    </row>
    <row r="4">
      <c r="A4" s="12" t="inlineStr">
        <is>
          <t>既読単価</t>
        </is>
      </c>
      <c r="B4" s="13" t="n">
        <v>400</v>
      </c>
      <c r="C4" s="12" t="inlineStr">
        <is>
          <t>円/既読</t>
        </is>
      </c>
      <c r="D4" s="12" t="inlineStr">
        <is>
          <t>資料</t>
        </is>
      </c>
      <c r="E4" s="12" t="inlineStr">
        <is>
          <t>データ仕様書: MR君は既読1件あたり400円</t>
        </is>
      </c>
    </row>
    <row r="5">
      <c r="A5" s="12" t="inlineStr">
        <is>
          <t>関連の反映率_下限</t>
        </is>
      </c>
      <c r="B5" s="14" t="n">
        <v>0.5</v>
      </c>
      <c r="C5" s="12" t="inlineStr"/>
      <c r="D5" s="12" t="inlineStr">
        <is>
          <t>仮定</t>
        </is>
      </c>
      <c r="E5" s="12" t="inlineStr">
        <is>
          <t>観察された関連のうち、施策の効果とみなす割合(下限)。変更可</t>
        </is>
      </c>
    </row>
    <row r="6">
      <c r="A6" s="12" t="inlineStr">
        <is>
          <t>関連の反映率_上限</t>
        </is>
      </c>
      <c r="B6" s="14" t="n">
        <v>1</v>
      </c>
      <c r="C6" s="12" t="inlineStr"/>
      <c r="D6" s="12" t="inlineStr">
        <is>
          <t>仮定</t>
        </is>
      </c>
      <c r="E6" s="12" t="inlineStr">
        <is>
          <t>観察された関連のうち、施策の効果とみなす割合(上限)。変更可</t>
        </is>
      </c>
    </row>
    <row r="7">
      <c r="A7" s="12" t="inlineStr">
        <is>
          <t>完読1本の上がり幅_有効7本</t>
        </is>
      </c>
      <c r="B7" s="13" t="n">
        <v>4.862</v>
      </c>
      <c r="C7" s="12" t="inlineStr">
        <is>
          <t>pt</t>
        </is>
      </c>
      <c r="D7" s="12" t="inlineStr">
        <is>
          <t>実測(関連)</t>
        </is>
      </c>
      <c r="E7" s="12" t="inlineStr">
        <is>
          <t>K3: 面談なし両年回答2,945名の重回帰。C01,C02,C04,C05,C07,C09,C10の係数の平均</t>
        </is>
      </c>
    </row>
    <row r="8">
      <c r="A8" s="12" t="inlineStr">
        <is>
          <t>完読1本の上がり幅_C10</t>
        </is>
      </c>
      <c r="B8" s="13" t="n">
        <v>5.5621</v>
      </c>
      <c r="C8" s="12" t="inlineStr">
        <is>
          <t>pt</t>
        </is>
      </c>
      <c r="D8" s="12" t="inlineStr">
        <is>
          <t>実測(関連)</t>
        </is>
      </c>
      <c r="E8" s="12" t="inlineStr">
        <is>
          <t>K3: C10の係数</t>
        </is>
      </c>
    </row>
    <row r="9">
      <c r="A9" s="12" t="inlineStr">
        <is>
          <t>①対象医師数</t>
        </is>
      </c>
      <c r="B9" s="13" t="n">
        <v>724</v>
      </c>
      <c r="C9" s="12" t="inlineStr">
        <is>
          <t>名</t>
        </is>
      </c>
      <c r="D9" s="12" t="inlineStr">
        <is>
          <t>実測</t>
        </is>
      </c>
      <c r="E9" s="12" t="inlineStr">
        <is>
          <t>内科・耳鼻咽喉科 × MR面談なし × MR君配信対象外(回答医師)</t>
        </is>
      </c>
    </row>
    <row r="10">
      <c r="A10" s="12" t="inlineStr">
        <is>
          <t>①対象医師の花粉症患者数</t>
        </is>
      </c>
      <c r="B10" s="13" t="n">
        <v>6032</v>
      </c>
      <c r="C10" s="12" t="inlineStr">
        <is>
          <t>人</t>
        </is>
      </c>
      <c r="D10" s="12" t="inlineStr">
        <is>
          <t>実測</t>
        </is>
      </c>
      <c r="E10" s="12" t="inlineStr">
        <is>
          <t>同上の医師のQ3_1合計</t>
        </is>
      </c>
    </row>
    <row r="11">
      <c r="A11" s="12" t="inlineStr">
        <is>
          <t>①1人あたり完読本数</t>
        </is>
      </c>
      <c r="B11" s="13" t="n">
        <v>0.5485</v>
      </c>
      <c r="C11" s="12" t="inlineStr">
        <is>
          <t>本</t>
        </is>
      </c>
      <c r="D11" s="12" t="inlineStr">
        <is>
          <t>実測</t>
        </is>
      </c>
      <c r="E11" s="12" t="inlineStr">
        <is>
          <t>同じ条件で配信対象の医師の平均(完読=視聴時間≧コンテンツ長)</t>
        </is>
      </c>
    </row>
    <row r="12">
      <c r="A12" s="12" t="inlineStr">
        <is>
          <t>①1人あたり既読本数</t>
        </is>
      </c>
      <c r="B12" s="13" t="n">
        <v>1.1957</v>
      </c>
      <c r="C12" s="12" t="inlineStr">
        <is>
          <t>本</t>
        </is>
      </c>
      <c r="D12" s="12" t="inlineStr">
        <is>
          <t>実測</t>
        </is>
      </c>
      <c r="E12" s="12" t="inlineStr">
        <is>
          <t>同じ条件で配信対象の医師の平均</t>
        </is>
      </c>
    </row>
    <row r="13">
      <c r="A13" s="12" t="inlineStr">
        <is>
          <t>②3本の既読に対応する患者数</t>
        </is>
      </c>
      <c r="B13" s="13" t="n">
        <v>7601</v>
      </c>
      <c r="C13" s="12" t="inlineStr">
        <is>
          <t>人</t>
        </is>
      </c>
      <c r="D13" s="12" t="inlineStr">
        <is>
          <t>実測</t>
        </is>
      </c>
      <c r="E13" s="12" t="inlineStr">
        <is>
          <t>C03・C06・C08の既読(回答医師、1,141件)ごとに医師の花粉症患者数を合計</t>
        </is>
      </c>
    </row>
    <row r="14">
      <c r="A14" s="12" t="inlineStr">
        <is>
          <t>②3本の現在の効果相当</t>
        </is>
      </c>
      <c r="B14" s="13" t="n">
        <v>4692.69</v>
      </c>
      <c r="C14" s="12" t="inlineStr">
        <is>
          <t>人×pt</t>
        </is>
      </c>
      <c r="D14" s="12" t="inlineStr">
        <is>
          <t>実測(関連)</t>
        </is>
      </c>
      <c r="E14" s="12" t="inlineStr">
        <is>
          <t>現在の完読(415件)×患者数×各コンテンツの係数の合計</t>
        </is>
      </c>
    </row>
    <row r="15">
      <c r="A15" s="12" t="inlineStr">
        <is>
          <t>②③入替・短縮後の完読率</t>
        </is>
      </c>
      <c r="B15" s="13" t="n">
        <v>0.4939</v>
      </c>
      <c r="C15" s="12" t="inlineStr"/>
      <c r="D15" s="12" t="inlineStr">
        <is>
          <t>実測</t>
        </is>
      </c>
      <c r="E15" s="12" t="inlineStr">
        <is>
          <t>240秒以内のコンテンツの完読率(全既読ログ)</t>
        </is>
      </c>
    </row>
    <row r="16">
      <c r="A16" s="12" t="inlineStr">
        <is>
          <t>③C10の既読に対応する患者数</t>
        </is>
      </c>
      <c r="B16" s="13" t="n">
        <v>2895</v>
      </c>
      <c r="C16" s="12" t="inlineStr">
        <is>
          <t>人</t>
        </is>
      </c>
      <c r="D16" s="12" t="inlineStr">
        <is>
          <t>実測</t>
        </is>
      </c>
      <c r="E16" s="12" t="inlineStr">
        <is>
          <t>C10の既読(回答医師、416件)ごとに医師の花粉症患者数を合計</t>
        </is>
      </c>
    </row>
    <row r="17">
      <c r="A17" s="12" t="inlineStr">
        <is>
          <t>③C10の現在の完読に対応する患者数</t>
        </is>
      </c>
      <c r="B17" s="13" t="n">
        <v>1057</v>
      </c>
      <c r="C17" s="12" t="inlineStr">
        <is>
          <t>人</t>
        </is>
      </c>
      <c r="D17" s="12" t="inlineStr">
        <is>
          <t>実測</t>
        </is>
      </c>
      <c r="E17" s="12" t="inlineStr">
        <is>
          <t>C10の完読ごとに医師の花粉症患者数を合計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2026-10-09T01:11:46Z</dcterms:created>
  <dcterms:modified xmlns:dcterms="http://purl.org/dc/terms/" xmlns:xsi="http://www.w3.org/2001/XMLSchema-instance" xsi:type="dcterms:W3CDTF">2026-10-09T01:11:46Z</dcterms:modified>
</cp:coreProperties>
</file>