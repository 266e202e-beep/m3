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①入力" sheetId="1" state="visible" r:id="rId3"/>
    <sheet name="②群×科(5,000名)" sheetId="2" state="visible" r:id="rId4"/>
    <sheet name="③科別(5,000名)" sheetId="3" state="visible" r:id="rId5"/>
    <sheet name="④全国(内科・耳鼻)" sheetId="4" state="visible" r:id="rId6"/>
    <sheet name="⑤照合" sheetId="5" state="visible" r:id="rId7"/>
  </sheets>
  <definedNames>
    <definedName function="false" hidden="false" name="CONV_H" vbProcedure="false">①入力!$B$8</definedName>
    <definedName function="false" hidden="false" name="CONV_L" vbProcedure="false">①入力!$B$6</definedName>
    <definedName function="false" hidden="false" name="CONV_M" vbProcedure="false">①入力!$B$7</definedName>
    <definedName function="false" hidden="false" name="FEAS" vbProcedure="false">①入力!$B$5</definedName>
    <definedName function="false" hidden="false" name="HP_ENT" vbProcedure="false">①入力!$B$24</definedName>
    <definedName function="false" hidden="false" name="HP_IM" vbProcedure="false">①入力!$B$23</definedName>
    <definedName function="false" hidden="false" name="NAT_ENT" vbProcedure="false">①入力!$B$11</definedName>
    <definedName function="false" hidden="false" name="NAT_IM" vbProcedure="false">①入力!$B$10</definedName>
    <definedName function="false" hidden="false" name="READ_ALL" vbProcedure="false">①入力!$B$20</definedName>
    <definedName function="false" hidden="false" name="READ_ENT" vbProcedure="false">①入力!$B$22</definedName>
    <definedName function="false" hidden="false" name="READ_IM" vbProcedure="false">①入力!$B$21</definedName>
    <definedName function="false" hidden="false" name="RX_ENT" vbProcedure="false">①入力!$B$17</definedName>
    <definedName function="false" hidden="false" name="RX_IM" vbProcedure="false">①入力!$B$16</definedName>
    <definedName function="false" hidden="false" name="RX_OPH" vbProcedure="false">①入力!$B$19</definedName>
    <definedName function="false" hidden="false" name="RX_PED" vbProcedure="false">①入力!$B$18</definedName>
    <definedName function="false" hidden="false" name="SALES" vbProcedure="false">①入力!$B$9</definedName>
    <definedName function="false" hidden="false" name="S_ENT" vbProcedure="false">①入力!$B$13</definedName>
    <definedName function="false" hidden="false" name="S_IM" vbProcedure="false">①入力!$B$12</definedName>
    <definedName function="false" hidden="false" name="S_OPH" vbProcedure="false">①入力!$B$15</definedName>
    <definedName function="false" hidden="false" name="S_PED" vbProcedure="false">①入力!$B$14</definedName>
    <definedName function="false" hidden="false" name="UNIT" vbProcedure="false">①入力!$B$4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<sst xmlns="http://schemas.openxmlformats.org/spreadsheetml/2006/main" count="277" uniqueCount="198">
  <si>
    <r>
      <rPr>
        <b val="true"/>
        <sz val="11"/>
        <rFont val="WenQuanYi Zen Hei"/>
        <family val="2"/>
      </rPr>
      <t xml:space="preserve">入力値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黄色</t>
    </r>
    <r>
      <rPr>
        <b val="true"/>
        <sz val="11"/>
        <rFont val="Cambria"/>
        <family val="0"/>
        <charset val="1"/>
      </rPr>
      <t xml:space="preserve">) </t>
    </r>
    <r>
      <rPr>
        <b val="true"/>
        <sz val="11"/>
        <rFont val="WenQuanYi Zen Hei"/>
        <family val="2"/>
      </rPr>
      <t xml:space="preserve">と出所。区分</t>
    </r>
    <r>
      <rPr>
        <b val="true"/>
        <sz val="11"/>
        <rFont val="Cambria"/>
        <family val="0"/>
        <charset val="1"/>
      </rPr>
      <t xml:space="preserve">: </t>
    </r>
    <r>
      <rPr>
        <b val="true"/>
        <sz val="11"/>
        <rFont val="WenQuanYi Zen Hei"/>
        <family val="2"/>
      </rPr>
      <t xml:space="preserve">実測 </t>
    </r>
    <r>
      <rPr>
        <b val="true"/>
        <sz val="11"/>
        <rFont val="Cambria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提供データから集計 </t>
    </r>
    <r>
      <rPr>
        <b val="true"/>
        <sz val="11"/>
        <rFont val="Cambria"/>
        <family val="0"/>
        <charset val="1"/>
      </rPr>
      <t xml:space="preserve">/ </t>
    </r>
    <r>
      <rPr>
        <b val="true"/>
        <sz val="11"/>
        <rFont val="WenQuanYi Zen Hei"/>
        <family val="2"/>
      </rPr>
      <t xml:space="preserve">資料 </t>
    </r>
    <r>
      <rPr>
        <b val="true"/>
        <sz val="11"/>
        <rFont val="Cambria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課題資料・公的統計 </t>
    </r>
    <r>
      <rPr>
        <b val="true"/>
        <sz val="11"/>
        <rFont val="Cambria"/>
        <family val="0"/>
        <charset val="1"/>
      </rPr>
      <t xml:space="preserve">/ </t>
    </r>
    <r>
      <rPr>
        <b val="true"/>
        <sz val="11"/>
        <rFont val="WenQuanYi Zen Hei"/>
        <family val="2"/>
      </rPr>
      <t xml:space="preserve">仮定 </t>
    </r>
    <r>
      <rPr>
        <b val="true"/>
        <sz val="11"/>
        <rFont val="Cambria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置いた値 </t>
    </r>
    <r>
      <rPr>
        <b val="true"/>
        <sz val="11"/>
        <rFont val="Cambria"/>
        <family val="0"/>
        <charset val="1"/>
      </rPr>
      <t xml:space="preserve">/ </t>
    </r>
    <r>
      <rPr>
        <b val="true"/>
        <sz val="11"/>
        <rFont val="WenQuanYi Zen Hei"/>
        <family val="2"/>
      </rPr>
      <t xml:space="preserve">暫定 </t>
    </r>
    <r>
      <rPr>
        <b val="true"/>
        <sz val="11"/>
        <rFont val="Cambria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原典の再確認が必要</t>
    </r>
  </si>
  <si>
    <t xml:space="preserve">項目</t>
  </si>
  <si>
    <t xml:space="preserve">値</t>
  </si>
  <si>
    <t xml:space="preserve">区分</t>
  </si>
  <si>
    <t xml:space="preserve">出所・説明</t>
  </si>
  <si>
    <r>
      <rPr>
        <sz val="11"/>
        <color theme="1"/>
        <rFont val="WenQuanYi Zen Hei"/>
        <family val="2"/>
      </rPr>
      <t xml:space="preserve">既読単価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円</t>
    </r>
    <r>
      <rPr>
        <sz val="11"/>
        <color theme="1"/>
        <rFont val="Calibri"/>
        <family val="2"/>
        <charset val="1"/>
      </rPr>
      <t xml:space="preserve">)</t>
    </r>
  </si>
  <si>
    <t xml:space="preserve">資料</t>
  </si>
  <si>
    <r>
      <rPr>
        <sz val="11"/>
        <color theme="1"/>
        <rFont val="WenQuanYi Zen Hei"/>
        <family val="2"/>
      </rPr>
      <t xml:space="preserve">課題資料</t>
    </r>
    <r>
      <rPr>
        <sz val="11"/>
        <color theme="1"/>
        <rFont val="Calibri"/>
        <family val="2"/>
        <charset val="1"/>
      </rPr>
      <t xml:space="preserve">: MR</t>
    </r>
    <r>
      <rPr>
        <sz val="11"/>
        <color theme="1"/>
        <rFont val="WenQuanYi Zen Hei"/>
        <family val="2"/>
      </rPr>
      <t xml:space="preserve">君は既読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件あたり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WenQuanYi Zen Hei"/>
        <family val="2"/>
      </rPr>
      <t xml:space="preserve">円</t>
    </r>
  </si>
  <si>
    <t xml:space="preserve">実施可能割合</t>
  </si>
  <si>
    <t xml:space="preserve">仮定</t>
  </si>
  <si>
    <r>
      <rPr>
        <sz val="11"/>
        <color theme="1"/>
        <rFont val="WenQuanYi Zen Hei"/>
        <family val="2"/>
      </rPr>
      <t xml:space="preserve">全国で施策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配信の追加・削減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を実施できる医師の割合。</t>
    </r>
    <r>
      <rPr>
        <sz val="11"/>
        <color theme="1"/>
        <rFont val="Calibri"/>
        <family val="2"/>
        <charset val="1"/>
      </rPr>
      <t xml:space="preserve">m3.com</t>
    </r>
    <r>
      <rPr>
        <sz val="11"/>
        <color theme="1"/>
        <rFont val="WenQuanYi Zen Hei"/>
        <family val="2"/>
      </rPr>
      <t xml:space="preserve">登録率とは別の仮定</t>
    </r>
  </si>
  <si>
    <r>
      <rPr>
        <sz val="11"/>
        <color theme="1"/>
        <rFont val="WenQuanYi Zen Hei"/>
        <family val="2"/>
      </rPr>
      <t xml:space="preserve">転換率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保守</t>
    </r>
  </si>
  <si>
    <t xml:space="preserve">新たに読んだ医師の潜在未処方のうち、翌年に処方される割合</t>
  </si>
  <si>
    <r>
      <rPr>
        <sz val="11"/>
        <color theme="1"/>
        <rFont val="WenQuanYi Zen Hei"/>
        <family val="2"/>
      </rPr>
      <t xml:space="preserve">転換率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</si>
  <si>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参考値</t>
    </r>
    <r>
      <rPr>
        <sz val="11"/>
        <color theme="1"/>
        <rFont val="Calibri"/>
        <family val="2"/>
        <charset val="1"/>
      </rPr>
      <t xml:space="preserve">6.0%(95%</t>
    </r>
    <r>
      <rPr>
        <sz val="11"/>
        <color theme="1"/>
        <rFont val="WenQuanYi Zen Hei"/>
        <family val="2"/>
      </rPr>
      <t xml:space="preserve">下限</t>
    </r>
    <r>
      <rPr>
        <sz val="11"/>
        <color theme="1"/>
        <rFont val="Calibri"/>
        <family val="2"/>
        <charset val="1"/>
      </rPr>
      <t xml:space="preserve">2.8%</t>
    </r>
    <r>
      <rPr>
        <sz val="11"/>
        <color theme="1"/>
        <rFont val="WenQuanYi Zen Hei"/>
        <family val="2"/>
      </rPr>
      <t xml:space="preserve">、配信あり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なしの処方率変化の差から計算、関連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の下限付近</t>
    </r>
  </si>
  <si>
    <r>
      <rPr>
        <sz val="11"/>
        <color theme="1"/>
        <rFont val="WenQuanYi Zen Hei"/>
        <family val="2"/>
      </rPr>
      <t xml:space="preserve">転換率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楽観</t>
    </r>
  </si>
  <si>
    <r>
      <rPr>
        <sz val="11"/>
        <color theme="1"/>
        <rFont val="WenQuanYi Zen Hei"/>
        <family val="2"/>
      </rPr>
      <t xml:space="preserve">参考値</t>
    </r>
    <r>
      <rPr>
        <sz val="11"/>
        <color theme="1"/>
        <rFont val="Calibri"/>
        <family val="2"/>
        <charset val="1"/>
      </rPr>
      <t xml:space="preserve">6.0%</t>
    </r>
    <r>
      <rPr>
        <sz val="11"/>
        <color theme="1"/>
        <rFont val="WenQuanYi Zen Hei"/>
        <family val="2"/>
      </rPr>
      <t xml:space="preserve">付近</t>
    </r>
  </si>
  <si>
    <r>
      <rPr>
        <sz val="11"/>
        <color theme="1"/>
        <rFont val="WenQuanYi Zen Hei"/>
        <family val="2"/>
      </rPr>
      <t xml:space="preserve">薬剤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年間売上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円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</si>
  <si>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課題資料</t>
    </r>
    <r>
      <rPr>
        <sz val="11"/>
        <color theme="1"/>
        <rFont val="Calibri"/>
        <family val="2"/>
        <charset val="1"/>
      </rPr>
      <t xml:space="preserve">: 50</t>
    </r>
    <r>
      <rPr>
        <sz val="11"/>
        <color theme="1"/>
        <rFont val="WenQuanYi Zen Hei"/>
        <family val="2"/>
      </rPr>
      <t xml:space="preserve">億円</t>
    </r>
  </si>
  <si>
    <r>
      <rPr>
        <sz val="11"/>
        <color theme="1"/>
        <rFont val="WenQuanYi Zen Hei"/>
        <family val="2"/>
      </rPr>
      <t xml:space="preserve">全国医師数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内科</t>
    </r>
  </si>
  <si>
    <r>
      <rPr>
        <sz val="11"/>
        <color theme="1"/>
        <rFont val="WenQuanYi Zen Hei"/>
        <family val="2"/>
      </rPr>
      <t xml:space="preserve">厚労省 令和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年 医師・歯科医師・薬剤師統計 医療施設従事医師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主たる診療科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</si>
  <si>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全国医師数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耳鼻咽喉科</t>
    </r>
  </si>
  <si>
    <t xml:space="preserve">暫定</t>
  </si>
  <si>
    <r>
      <rPr>
        <sz val="11"/>
        <color theme="1"/>
        <rFont val="WenQuanYi Zen Hei"/>
        <family val="2"/>
      </rPr>
      <t xml:space="preserve">同上。</t>
    </r>
    <r>
      <rPr>
        <sz val="11"/>
        <color theme="1"/>
        <rFont val="Calibri"/>
        <family val="2"/>
        <charset val="1"/>
      </rPr>
      <t xml:space="preserve">9,330</t>
    </r>
    <r>
      <rPr>
        <sz val="11"/>
        <color theme="1"/>
        <rFont val="WenQuanYi Zen Hei"/>
        <family val="2"/>
      </rPr>
      <t xml:space="preserve">名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原典で再確認が必要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</si>
  <si>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回答医師数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内科</t>
    </r>
  </si>
  <si>
    <t xml:space="preserve">実測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</si>
  <si>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年アンケート</t>
    </r>
  </si>
  <si>
    <r>
      <rPr>
        <sz val="11"/>
        <color theme="1"/>
        <rFont val="WenQuanYi Zen Hei"/>
        <family val="2"/>
      </rPr>
      <t xml:space="preserve">回答医師数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耳鼻咽喉科</t>
    </r>
  </si>
  <si>
    <r>
      <rPr>
        <sz val="11"/>
        <color theme="1"/>
        <rFont val="WenQuanYi Zen Hei"/>
        <family val="2"/>
      </rPr>
      <t xml:space="preserve">回答医師数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小児科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</si>
  <si>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年アンケート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全国換算には使わない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</si>
  <si>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回答医師数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眼科</t>
    </r>
  </si>
  <si>
    <r>
      <rPr>
        <sz val="11"/>
        <color theme="1"/>
        <rFont val="WenQuanYi Zen Hei"/>
        <family val="2"/>
      </rPr>
      <t xml:space="preserve">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内科</t>
    </r>
  </si>
  <si>
    <r>
      <rPr>
        <sz val="11"/>
        <color theme="1"/>
        <rFont val="Calibri"/>
        <family val="2"/>
        <charset val="1"/>
      </rPr>
      <t xml:space="preserve">Q3_2 </t>
    </r>
    <r>
      <rPr>
        <sz val="11"/>
        <color theme="1"/>
        <rFont val="WenQuanYi Zen Hei"/>
        <family val="2"/>
      </rPr>
      <t xml:space="preserve">の合計</t>
    </r>
  </si>
  <si>
    <r>
      <rPr>
        <sz val="11"/>
        <color theme="1"/>
        <rFont val="WenQuanYi Zen Hei"/>
        <family val="2"/>
      </rPr>
      <t xml:space="preserve">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耳鼻咽喉科</t>
    </r>
  </si>
  <si>
    <r>
      <rPr>
        <sz val="11"/>
        <color theme="1"/>
        <rFont val="WenQuanYi Zen Hei"/>
        <family val="2"/>
      </rPr>
      <t xml:space="preserve">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小児科</t>
    </r>
  </si>
  <si>
    <r>
      <rPr>
        <sz val="11"/>
        <color theme="1"/>
        <rFont val="WenQuanYi Zen Hei"/>
        <family val="2"/>
      </rPr>
      <t xml:space="preserve">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眼科</t>
    </r>
  </si>
  <si>
    <r>
      <rPr>
        <sz val="11"/>
        <color theme="1"/>
        <rFont val="WenQuanYi Zen Hei"/>
        <family val="2"/>
      </rPr>
      <t xml:space="preserve">現状の既読件数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回答医師全体</t>
    </r>
  </si>
  <si>
    <r>
      <rPr>
        <sz val="11"/>
        <color theme="1"/>
        <rFont val="Calibri"/>
        <family val="2"/>
        <charset val="1"/>
      </rPr>
      <t xml:space="preserve">MR</t>
    </r>
    <r>
      <rPr>
        <sz val="11"/>
        <color theme="1"/>
        <rFont val="WenQuanYi Zen Hei"/>
        <family val="2"/>
      </rPr>
      <t xml:space="preserve">君既読ログ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配信対象</t>
    </r>
    <r>
      <rPr>
        <sz val="11"/>
        <color theme="1"/>
        <rFont val="Calibri"/>
        <family val="2"/>
        <charset val="1"/>
      </rPr>
      <t xml:space="preserve">3,481</t>
    </r>
    <r>
      <rPr>
        <sz val="11"/>
        <color theme="1"/>
        <rFont val="WenQuanYi Zen Hei"/>
        <family val="2"/>
      </rPr>
      <t xml:space="preserve">名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</si>
  <si>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現状の既読件数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内科</t>
    </r>
  </si>
  <si>
    <r>
      <rPr>
        <sz val="11"/>
        <color theme="1"/>
        <rFont val="Calibri"/>
        <family val="2"/>
        <charset val="1"/>
      </rPr>
      <t xml:space="preserve">MR</t>
    </r>
    <r>
      <rPr>
        <sz val="11"/>
        <color theme="1"/>
        <rFont val="WenQuanYi Zen Hei"/>
        <family val="2"/>
      </rPr>
      <t xml:space="preserve">君既読ログ</t>
    </r>
  </si>
  <si>
    <r>
      <rPr>
        <sz val="11"/>
        <color theme="1"/>
        <rFont val="WenQuanYi Zen Hei"/>
        <family val="2"/>
      </rPr>
      <t xml:space="preserve">現状の既読件数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耳鼻咽喉科</t>
    </r>
  </si>
  <si>
    <r>
      <rPr>
        <sz val="11"/>
        <color theme="1"/>
        <rFont val="WenQuanYi Zen Hei"/>
        <family val="2"/>
      </rPr>
      <t xml:space="preserve">高ポテンシャル医師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内科</t>
    </r>
  </si>
  <si>
    <r>
      <rPr>
        <sz val="11"/>
        <color theme="1"/>
        <rFont val="WenQuanYi Zen Hei"/>
        <family val="2"/>
      </rPr>
      <t xml:space="preserve">潜在未処方</t>
    </r>
    <r>
      <rPr>
        <sz val="11"/>
        <color theme="1"/>
        <rFont val="Calibri"/>
        <family val="2"/>
        <charset val="1"/>
      </rPr>
      <t xml:space="preserve">(Q3_1−Q3_2)8</t>
    </r>
    <r>
      <rPr>
        <sz val="11"/>
        <color theme="1"/>
        <rFont val="WenQuanYi Zen Hei"/>
        <family val="2"/>
      </rPr>
      <t xml:space="preserve">人以上</t>
    </r>
  </si>
  <si>
    <r>
      <rPr>
        <sz val="11"/>
        <color theme="1"/>
        <rFont val="WenQuanYi Zen Hei"/>
        <family val="2"/>
      </rPr>
      <t xml:space="preserve">高ポテンシャル医師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耳鼻咽喉科</t>
    </r>
  </si>
  <si>
    <t xml:space="preserve">同上</t>
  </si>
  <si>
    <r>
      <rPr>
        <b val="true"/>
        <sz val="11"/>
        <rFont val="WenQuanYi Zen Hei"/>
        <family val="2"/>
      </rPr>
      <t xml:space="preserve">群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WenQuanYi Zen Hei"/>
        <family val="2"/>
      </rPr>
      <t xml:space="preserve">診療科ごとの費用と追加処方患者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回答医師</t>
    </r>
    <r>
      <rPr>
        <b val="true"/>
        <sz val="11"/>
        <rFont val="Cambria"/>
        <family val="0"/>
        <charset val="1"/>
      </rPr>
      <t xml:space="preserve">5,000</t>
    </r>
    <r>
      <rPr>
        <b val="true"/>
        <sz val="11"/>
        <rFont val="WenQuanYi Zen Hei"/>
        <family val="2"/>
      </rPr>
      <t xml:space="preserve">名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WenQuanYi Zen Hei"/>
        <family val="2"/>
      </rPr>
      <t xml:space="preserve">。群のパラメータ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既読率・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WenQuanYi Zen Hei"/>
        <family val="2"/>
      </rPr>
      <t xml:space="preserve">回既読医師率・翌年比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WenQuanYi Zen Hei"/>
        <family val="2"/>
      </rPr>
      <t xml:space="preserve">は群全体の実測値</t>
    </r>
  </si>
  <si>
    <t xml:space="preserve">群</t>
  </si>
  <si>
    <t xml:space="preserve">診療科</t>
  </si>
  <si>
    <t xml:space="preserve">医師数</t>
  </si>
  <si>
    <t xml:space="preserve">潜在未処方</t>
  </si>
  <si>
    <r>
      <rPr>
        <b val="true"/>
        <sz val="11"/>
        <color rgb="FFFFFFFF"/>
        <rFont val="WenQuanYi Zen Hei"/>
        <family val="2"/>
      </rPr>
      <t xml:space="preserve">既読率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配信</t>
    </r>
  </si>
  <si>
    <r>
      <rPr>
        <b val="true"/>
        <sz val="11"/>
        <color rgb="FFFFFFFF"/>
        <rFont val="Cambria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回既読医師率</t>
    </r>
  </si>
  <si>
    <t xml:space="preserve">翌年比</t>
  </si>
  <si>
    <t xml:space="preserve">現状回数</t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</si>
  <si>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WenQuanYi Zen Hei"/>
        <family val="2"/>
      </rPr>
      <t xml:space="preserve">案回数</t>
    </r>
  </si>
  <si>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WenQuanYi Zen Hei"/>
        <family val="2"/>
      </rPr>
      <t xml:space="preserve">案回数</t>
    </r>
  </si>
  <si>
    <t xml:space="preserve">現状費用</t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</si>
  <si>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WenQuanYi Zen Hei"/>
        <family val="2"/>
      </rPr>
      <t xml:space="preserve">案費用</t>
    </r>
  </si>
  <si>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WenQuanYi Zen Hei"/>
        <family val="2"/>
      </rPr>
      <t xml:space="preserve">案費用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</si>
  <si>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WenQuanYi Zen Hei"/>
        <family val="2"/>
      </rPr>
      <t xml:space="preserve">案費用変化</t>
    </r>
  </si>
  <si>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WenQuanYi Zen Hei"/>
        <family val="2"/>
      </rPr>
      <t xml:space="preserve">案費用変化</t>
    </r>
  </si>
  <si>
    <r>
      <rPr>
        <b val="true"/>
        <sz val="11"/>
        <color rgb="FFFFFFFF"/>
        <rFont val="WenQuanYi Zen Hei"/>
        <family val="2"/>
      </rPr>
      <t xml:space="preserve">既読医師率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WenQuanYi Zen Hei"/>
        <family val="2"/>
      </rPr>
      <t xml:space="preserve">現状</t>
    </r>
  </si>
  <si>
    <r>
      <rPr>
        <b val="true"/>
        <sz val="11"/>
        <color rgb="FFFFFFFF"/>
        <rFont val="WenQuanYi Zen Hei"/>
        <family val="2"/>
      </rPr>
      <t xml:space="preserve">既読医師率</t>
    </r>
    <r>
      <rPr>
        <b val="true"/>
        <sz val="11"/>
        <color rgb="FFFFFFFF"/>
        <rFont val="Cambria"/>
        <family val="0"/>
        <charset val="1"/>
      </rPr>
      <t xml:space="preserve">_A</t>
    </r>
  </si>
  <si>
    <r>
      <rPr>
        <b val="true"/>
        <sz val="11"/>
        <color rgb="FFFFFFFF"/>
        <rFont val="WenQuanYi Zen Hei"/>
        <family val="2"/>
      </rPr>
      <t xml:space="preserve">既読医師率</t>
    </r>
    <r>
      <rPr>
        <b val="true"/>
        <sz val="11"/>
        <color rgb="FFFFFFFF"/>
        <rFont val="Cambria"/>
        <family val="0"/>
        <charset val="1"/>
      </rPr>
      <t xml:space="preserve">_B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</si>
  <si>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WenQuanYi Zen Hei"/>
        <family val="2"/>
      </rPr>
      <t xml:space="preserve">患者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WenQuanYi Zen Hei"/>
        <family val="2"/>
      </rPr>
      <t xml:space="preserve">保守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</si>
  <si>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WenQuanYi Zen Hei"/>
        <family val="2"/>
      </rPr>
      <t xml:space="preserve">患者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WenQuanYi Zen Hei"/>
        <family val="2"/>
      </rPr>
      <t xml:space="preserve">基準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</si>
  <si>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WenQuanYi Zen Hei"/>
        <family val="2"/>
      </rPr>
      <t xml:space="preserve">患者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WenQuanYi Zen Hei"/>
        <family val="2"/>
      </rPr>
      <t xml:space="preserve">楽観</t>
    </r>
  </si>
  <si>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WenQuanYi Zen Hei"/>
        <family val="2"/>
      </rPr>
      <t xml:space="preserve">患者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WenQuanYi Zen Hei"/>
        <family val="2"/>
      </rPr>
      <t xml:space="preserve">保守</t>
    </r>
  </si>
  <si>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WenQuanYi Zen Hei"/>
        <family val="2"/>
      </rPr>
      <t xml:space="preserve">患者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WenQuanYi Zen Hei"/>
        <family val="2"/>
      </rPr>
      <t xml:space="preserve">基準</t>
    </r>
  </si>
  <si>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WenQuanYi Zen Hei"/>
        <family val="2"/>
      </rPr>
      <t xml:space="preserve">患者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WenQuanYi Zen Hei"/>
        <family val="2"/>
      </rPr>
      <t xml:space="preserve">楽観</t>
    </r>
  </si>
  <si>
    <t xml:space="preserve">①</t>
  </si>
  <si>
    <t xml:space="preserve">内科</t>
  </si>
  <si>
    <t xml:space="preserve">耳鼻咽喉科</t>
  </si>
  <si>
    <t xml:space="preserve">②</t>
  </si>
  <si>
    <t xml:space="preserve">③</t>
  </si>
  <si>
    <t xml:space="preserve">小児科</t>
  </si>
  <si>
    <t xml:space="preserve">眼科</t>
  </si>
  <si>
    <t xml:space="preserve">④</t>
  </si>
  <si>
    <t xml:space="preserve">⑤</t>
  </si>
  <si>
    <r>
      <rPr>
        <b val="true"/>
        <sz val="11"/>
        <rFont val="WenQuanYi Zen Hei"/>
        <family val="2"/>
      </rPr>
      <t xml:space="preserve">診療科別の費用変化・追加処方患者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回答医師</t>
    </r>
    <r>
      <rPr>
        <b val="true"/>
        <sz val="11"/>
        <rFont val="Cambria"/>
        <family val="0"/>
        <charset val="1"/>
      </rPr>
      <t xml:space="preserve">5,000</t>
    </r>
    <r>
      <rPr>
        <b val="true"/>
        <sz val="11"/>
        <rFont val="WenQuanYi Zen Hei"/>
        <family val="2"/>
      </rPr>
      <t xml:space="preserve">名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WenQuanYi Zen Hei"/>
        <family val="2"/>
      </rPr>
      <t xml:space="preserve">と、回答医師全体の費用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</si>
  <si>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WenQuanYi Zen Hei"/>
        <family val="2"/>
      </rPr>
      <t xml:space="preserve">案費用変化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</si>
  <si>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WenQuanYi Zen Hei"/>
        <family val="2"/>
      </rPr>
      <t xml:space="preserve">案費用変化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</si>
  <si>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合計</t>
    </r>
    <r>
      <rPr>
        <b val="true"/>
        <sz val="11"/>
        <rFont val="Cambria"/>
        <family val="0"/>
        <charset val="1"/>
      </rPr>
      <t xml:space="preserve">(4</t>
    </r>
    <r>
      <rPr>
        <b val="true"/>
        <sz val="11"/>
        <rFont val="WenQuanYi Zen Hei"/>
        <family val="2"/>
      </rPr>
      <t xml:space="preserve">科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</si>
  <si>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回答医師全体の費用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円</t>
    </r>
    <r>
      <rPr>
        <b val="true"/>
        <sz val="11"/>
        <rFont val="Cambria"/>
        <family val="0"/>
        <charset val="1"/>
      </rPr>
      <t xml:space="preserve">)</t>
    </r>
  </si>
  <si>
    <t xml:space="preserve">現状</t>
  </si>
  <si>
    <t xml:space="preserve">万円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</si>
  <si>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</si>
  <si>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</si>
  <si>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案−現状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</si>
  <si>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案−現状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</si>
  <si>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案−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</si>
  <si>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案変化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内科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耳鼻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</si>
  <si>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案変化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小児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眼科</t>
    </r>
  </si>
  <si>
    <r>
      <rPr>
        <b val="true"/>
        <sz val="11"/>
        <rFont val="WenQuanYi Zen Hei"/>
        <family val="2"/>
      </rPr>
      <t xml:space="preserve">全国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内科・耳鼻咽喉科のみ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WenQuanYi Zen Hei"/>
        <family val="2"/>
      </rPr>
      <t xml:space="preserve">。倍率 </t>
    </r>
    <r>
      <rPr>
        <b val="true"/>
        <sz val="11"/>
        <rFont val="Cambria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全国医師数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回答医師数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科別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WenQuanYi Zen Hei"/>
        <family val="2"/>
      </rPr>
      <t xml:space="preserve">。費用・患者の「変化」には実施可能割合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仮定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WenQuanYi Zen Hei"/>
        <family val="2"/>
      </rPr>
      <t xml:space="preserve">を掛ける。小児科・眼科は含めない</t>
    </r>
  </si>
  <si>
    <t xml:space="preserve">合計</t>
  </si>
  <si>
    <t xml:space="preserve">単位・説明</t>
  </si>
  <si>
    <t xml:space="preserve">倍率</t>
  </si>
  <si>
    <t xml:space="preserve">倍</t>
  </si>
  <si>
    <t xml:space="preserve">現状の既読課金</t>
  </si>
  <si>
    <r>
      <rPr>
        <sz val="11"/>
        <color theme="1"/>
        <rFont val="WenQuanYi Zen Hei"/>
        <family val="2"/>
      </rPr>
      <t xml:space="preserve">円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実施可能割合は掛けない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</si>
  <si>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案の費用変化</t>
    </r>
  </si>
  <si>
    <t xml:space="preserve">円</t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</si>
  <si>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案の費用変化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</si>
  <si>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案の費用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</si>
  <si>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案の費用</t>
    </r>
  </si>
  <si>
    <t xml:space="preserve">高ポテンシャル医師</t>
  </si>
  <si>
    <r>
      <rPr>
        <sz val="11"/>
        <color theme="1"/>
        <rFont val="WenQuanYi Zen Hei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実施可能割合は掛けない</t>
    </r>
    <r>
      <rPr>
        <sz val="11"/>
        <color theme="1"/>
        <rFont val="Calibri"/>
        <family val="2"/>
        <charset val="1"/>
      </rPr>
      <t xml:space="preserve">)</t>
    </r>
  </si>
  <si>
    <t xml:space="preserve">①の医師数</t>
  </si>
  <si>
    <t xml:space="preserve">人</t>
  </si>
  <si>
    <t xml:space="preserve">②の医師数</t>
  </si>
  <si>
    <t xml:space="preserve">③の医師数</t>
  </si>
  <si>
    <t xml:space="preserve">⑤の医師数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</si>
  <si>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案の追加処方患者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保守</t>
    </r>
  </si>
  <si>
    <r>
      <rPr>
        <sz val="11"/>
        <color theme="1"/>
        <rFont val="WenQuanYi Zen Hei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</si>
  <si>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案の追加処方患者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</si>
  <si>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案の追加処方患者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楽観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</si>
  <si>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案の追加処方患者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保守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</si>
  <si>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案の追加処方患者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</si>
  <si>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案の追加処方患者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楽観</t>
    </r>
  </si>
  <si>
    <r>
      <rPr>
        <sz val="11"/>
        <color theme="1"/>
        <rFont val="WenQuanYi Zen Hei"/>
        <family val="2"/>
      </rPr>
      <t xml:space="preserve">処方患者</t>
    </r>
    <r>
      <rPr>
        <sz val="11"/>
        <color theme="1"/>
        <rFont val="Calibri"/>
        <family val="2"/>
        <charset val="1"/>
      </rPr>
      <t xml:space="preserve">(5,000</t>
    </r>
    <r>
      <rPr>
        <sz val="11"/>
        <color theme="1"/>
        <rFont val="WenQuanYi Zen Hei"/>
        <family val="2"/>
      </rPr>
      <t xml:space="preserve">名、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科合計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</si>
  <si>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実測</t>
    </r>
    <r>
      <rPr>
        <sz val="11"/>
        <color theme="1"/>
        <rFont val="Calibri"/>
        <family val="2"/>
        <charset val="1"/>
      </rPr>
      <t xml:space="preserve">)</t>
    </r>
  </si>
  <si>
    <t xml:space="preserve">内科・耳鼻の処方患者の割合</t>
  </si>
  <si>
    <r>
      <rPr>
        <sz val="11"/>
        <color theme="1"/>
        <rFont val="WenQuanYi Zen Hei"/>
        <family val="2"/>
      </rPr>
      <t xml:space="preserve">仮定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全国の売上も同じ割合で内科・耳鼻に属する</t>
    </r>
  </si>
  <si>
    <r>
      <rPr>
        <sz val="11"/>
        <color theme="1"/>
        <rFont val="WenQuanYi Zen Hei"/>
        <family val="2"/>
      </rPr>
      <t xml:space="preserve">全国の処方患者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推計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</si>
  <si>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処方患者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人あたり年間売上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参考値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</si>
  <si>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円。参考値・未検証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薬価・処方日数のデータなし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</si>
  <si>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案の追加売上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保守</t>
    </r>
  </si>
  <si>
    <r>
      <rPr>
        <sz val="11"/>
        <color theme="1"/>
        <rFont val="WenQuanYi Zen Hei"/>
        <family val="2"/>
      </rPr>
      <t xml:space="preserve">円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追加処方患者 </t>
    </r>
    <r>
      <rPr>
        <sz val="11"/>
        <color theme="1"/>
        <rFont val="Calibri"/>
        <family val="2"/>
        <charset val="1"/>
      </rPr>
      <t xml:space="preserve">× 1</t>
    </r>
    <r>
      <rPr>
        <sz val="11"/>
        <color theme="1"/>
        <rFont val="WenQuanYi Zen Hei"/>
        <family val="2"/>
      </rPr>
      <t xml:space="preserve">人あたり売上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</si>
  <si>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案の追加売上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</si>
  <si>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案の追加売上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楽観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</si>
  <si>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案の追加売上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保守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</si>
  <si>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案の追加売上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</si>
  <si>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案の追加売上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楽観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</si>
  <si>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案の追加売上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÷ 50</t>
    </r>
    <r>
      <rPr>
        <sz val="11"/>
        <color theme="1"/>
        <rFont val="WenQuanYi Zen Hei"/>
        <family val="2"/>
      </rPr>
      <t xml:space="preserve">億円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</si>
  <si>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案の追加売上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÷ 50</t>
    </r>
    <r>
      <rPr>
        <sz val="11"/>
        <color theme="1"/>
        <rFont val="WenQuanYi Zen Hei"/>
        <family val="2"/>
      </rPr>
      <t xml:space="preserve">億円</t>
    </r>
  </si>
  <si>
    <r>
      <rPr>
        <b val="true"/>
        <sz val="11"/>
        <rFont val="Cambria"/>
        <family val="0"/>
        <charset val="1"/>
      </rPr>
      <t xml:space="preserve">Excel </t>
    </r>
    <r>
      <rPr>
        <b val="true"/>
        <sz val="11"/>
        <rFont val="WenQuanYi Zen Hei"/>
        <family val="2"/>
      </rPr>
      <t xml:space="preserve">と </t>
    </r>
    <r>
      <rPr>
        <b val="true"/>
        <sz val="11"/>
        <rFont val="Cambria"/>
        <family val="0"/>
        <charset val="1"/>
      </rPr>
      <t xml:space="preserve">Python(national_v11.json)</t>
    </r>
    <r>
      <rPr>
        <b val="true"/>
        <sz val="11"/>
        <rFont val="WenQuanYi Zen Hei"/>
        <family val="2"/>
      </rPr>
      <t xml:space="preserve">の照合。差が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なら一致</t>
    </r>
  </si>
  <si>
    <t xml:space="preserve">Excel</t>
  </si>
  <si>
    <t xml:space="preserve">Python</t>
  </si>
  <si>
    <t xml:space="preserve">差</t>
  </si>
  <si>
    <t xml:space="preserve">発表での表記</t>
  </si>
  <si>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WenQuanYi Zen Hei"/>
        <family val="2"/>
      </rPr>
      <t xml:space="preserve">名 現状費用</t>
    </r>
  </si>
  <si>
    <r>
      <rPr>
        <sz val="11"/>
        <color theme="1"/>
        <rFont val="Calibri"/>
        <family val="2"/>
        <charset val="1"/>
      </rPr>
      <t xml:space="preserve">160.16</t>
    </r>
    <r>
      <rPr>
        <sz val="11"/>
        <color theme="1"/>
        <rFont val="WenQuanYi Zen Hei"/>
        <family val="2"/>
      </rPr>
      <t xml:space="preserve">万円</t>
    </r>
  </si>
  <si>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WenQuanYi Zen Hei"/>
        <family val="2"/>
      </rPr>
      <t xml:space="preserve">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案費用</t>
    </r>
  </si>
  <si>
    <r>
      <rPr>
        <sz val="11"/>
        <color theme="1"/>
        <rFont val="Calibri"/>
        <family val="2"/>
        <charset val="1"/>
      </rPr>
      <t xml:space="preserve">153.45</t>
    </r>
    <r>
      <rPr>
        <sz val="11"/>
        <color theme="1"/>
        <rFont val="WenQuanYi Zen Hei"/>
        <family val="2"/>
      </rPr>
      <t xml:space="preserve">万円</t>
    </r>
  </si>
  <si>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WenQuanYi Zen Hei"/>
        <family val="2"/>
      </rPr>
      <t xml:space="preserve">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案費用</t>
    </r>
  </si>
  <si>
    <r>
      <rPr>
        <sz val="11"/>
        <color theme="1"/>
        <rFont val="Calibri"/>
        <family val="2"/>
        <charset val="1"/>
      </rPr>
      <t xml:space="preserve">168.32</t>
    </r>
    <r>
      <rPr>
        <sz val="11"/>
        <color theme="1"/>
        <rFont val="WenQuanYi Zen Hei"/>
        <family val="2"/>
      </rPr>
      <t xml:space="preserve">万円</t>
    </r>
  </si>
  <si>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WenQuanYi Zen Hei"/>
        <family val="2"/>
      </rPr>
      <t xml:space="preserve">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案−現状</t>
    </r>
  </si>
  <si>
    <r>
      <rPr>
        <sz val="11"/>
        <color theme="1"/>
        <rFont val="Calibri"/>
        <family val="2"/>
        <charset val="1"/>
      </rPr>
      <t xml:space="preserve">−6.71</t>
    </r>
    <r>
      <rPr>
        <sz val="11"/>
        <color theme="1"/>
        <rFont val="WenQuanYi Zen Hei"/>
        <family val="2"/>
      </rPr>
      <t xml:space="preserve">万円</t>
    </r>
  </si>
  <si>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WenQuanYi Zen Hei"/>
        <family val="2"/>
      </rPr>
      <t xml:space="preserve">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案−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</t>
    </r>
  </si>
  <si>
    <r>
      <rPr>
        <sz val="11"/>
        <color theme="1"/>
        <rFont val="Calibri"/>
        <family val="2"/>
        <charset val="1"/>
      </rPr>
      <t xml:space="preserve">+14.87</t>
    </r>
    <r>
      <rPr>
        <sz val="11"/>
        <color theme="1"/>
        <rFont val="WenQuanYi Zen Hei"/>
        <family val="2"/>
      </rPr>
      <t xml:space="preserve">万円</t>
    </r>
  </si>
  <si>
    <t xml:space="preserve">倍率 内科</t>
  </si>
  <si>
    <r>
      <rPr>
        <sz val="11"/>
        <color theme="1"/>
        <rFont val="Calibri"/>
        <family val="2"/>
        <charset val="1"/>
      </rPr>
      <t xml:space="preserve">30.0</t>
    </r>
    <r>
      <rPr>
        <sz val="11"/>
        <color theme="1"/>
        <rFont val="WenQuanYi Zen Hei"/>
        <family val="2"/>
      </rPr>
      <t xml:space="preserve">倍</t>
    </r>
  </si>
  <si>
    <t xml:space="preserve">倍率 耳鼻</t>
  </si>
  <si>
    <r>
      <rPr>
        <sz val="11"/>
        <color theme="1"/>
        <rFont val="Calibri"/>
        <family val="2"/>
        <charset val="1"/>
      </rPr>
      <t xml:space="preserve">7.69</t>
    </r>
    <r>
      <rPr>
        <sz val="11"/>
        <color theme="1"/>
        <rFont val="WenQuanYi Zen Hei"/>
        <family val="2"/>
      </rPr>
      <t xml:space="preserve">倍</t>
    </r>
  </si>
  <si>
    <t xml:space="preserve">全国 現状の既読課金</t>
  </si>
  <si>
    <r>
      <rPr>
        <sz val="11"/>
        <color theme="1"/>
        <rFont val="WenQuanYi Zen Hei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2,298</t>
    </r>
    <r>
      <rPr>
        <sz val="11"/>
        <color theme="1"/>
        <rFont val="WenQuanYi Zen Hei"/>
        <family val="2"/>
      </rPr>
      <t xml:space="preserve">万円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</si>
  <si>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案の費用変化</t>
    </r>
  </si>
  <si>
    <r>
      <rPr>
        <sz val="11"/>
        <color theme="1"/>
        <rFont val="Calibri"/>
        <family val="2"/>
        <charset val="1"/>
      </rPr>
      <t xml:space="preserve">+8.4</t>
    </r>
    <r>
      <rPr>
        <sz val="11"/>
        <color theme="1"/>
        <rFont val="WenQuanYi Zen Hei"/>
        <family val="2"/>
      </rPr>
      <t xml:space="preserve">万円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</si>
  <si>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案の費用変化</t>
    </r>
  </si>
  <si>
    <r>
      <rPr>
        <sz val="11"/>
        <color theme="1"/>
        <rFont val="Calibri"/>
        <family val="2"/>
        <charset val="1"/>
      </rPr>
      <t xml:space="preserve">+297.3</t>
    </r>
    <r>
      <rPr>
        <sz val="11"/>
        <color theme="1"/>
        <rFont val="WenQuanYi Zen Hei"/>
        <family val="2"/>
      </rPr>
      <t xml:space="preserve">万円</t>
    </r>
  </si>
  <si>
    <t xml:space="preserve">全国 高ポテンシャル医師</t>
  </si>
  <si>
    <r>
      <rPr>
        <sz val="11"/>
        <color theme="1"/>
        <rFont val="WenQuanYi Zen Hei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11,900</t>
    </r>
    <r>
      <rPr>
        <sz val="11"/>
        <color theme="1"/>
        <rFont val="WenQuanYi Zen Hei"/>
        <family val="2"/>
      </rPr>
      <t xml:space="preserve">人</t>
    </r>
  </si>
  <si>
    <t xml:space="preserve">全国 ①の医師数</t>
  </si>
  <si>
    <r>
      <rPr>
        <sz val="11"/>
        <color theme="1"/>
        <rFont val="Calibri"/>
        <family val="2"/>
        <charset val="1"/>
      </rPr>
      <t xml:space="preserve">3,450</t>
    </r>
    <r>
      <rPr>
        <sz val="11"/>
        <color theme="1"/>
        <rFont val="WenQuanYi Zen Hei"/>
        <family val="2"/>
      </rPr>
      <t xml:space="preserve">人</t>
    </r>
  </si>
  <si>
    <t xml:space="preserve">全国 ②の医師数</t>
  </si>
  <si>
    <r>
      <rPr>
        <sz val="11"/>
        <color theme="1"/>
        <rFont val="Calibri"/>
        <family val="2"/>
        <charset val="1"/>
      </rPr>
      <t xml:space="preserve">6,630</t>
    </r>
    <r>
      <rPr>
        <sz val="11"/>
        <color theme="1"/>
        <rFont val="WenQuanYi Zen Hei"/>
        <family val="2"/>
      </rPr>
      <t xml:space="preserve">人</t>
    </r>
  </si>
  <si>
    <t xml:space="preserve">全国 ③の医師数</t>
  </si>
  <si>
    <r>
      <rPr>
        <sz val="11"/>
        <color theme="1"/>
        <rFont val="Calibri"/>
        <family val="2"/>
        <charset val="1"/>
      </rPr>
      <t xml:space="preserve">10,810</t>
    </r>
    <r>
      <rPr>
        <sz val="11"/>
        <color theme="1"/>
        <rFont val="WenQuanYi Zen Hei"/>
        <family val="2"/>
      </rPr>
      <t xml:space="preserve">人</t>
    </r>
  </si>
  <si>
    <t xml:space="preserve">全国 ⑤の医師数</t>
  </si>
  <si>
    <r>
      <rPr>
        <sz val="11"/>
        <color theme="1"/>
        <rFont val="Calibri"/>
        <family val="2"/>
        <charset val="1"/>
      </rPr>
      <t xml:space="preserve">5,610</t>
    </r>
    <r>
      <rPr>
        <sz val="11"/>
        <color theme="1"/>
        <rFont val="WenQuanYi Zen Hei"/>
        <family val="2"/>
      </rPr>
      <t xml:space="preserve">人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</si>
  <si>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 追加処方患者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保守</t>
    </r>
  </si>
  <si>
    <r>
      <rPr>
        <sz val="11"/>
        <color theme="1"/>
        <rFont val="WenQuanYi Zen Hei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WenQuanYi Zen Hei"/>
        <family val="2"/>
      </rPr>
      <t xml:space="preserve">人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</si>
  <si>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 追加処方患者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</si>
  <si>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330</t>
    </r>
    <r>
      <rPr>
        <sz val="11"/>
        <color theme="1"/>
        <rFont val="WenQuanYi Zen Hei"/>
        <family val="2"/>
      </rPr>
      <t xml:space="preserve">人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</si>
  <si>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 追加処方患者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楽観</t>
    </r>
  </si>
  <si>
    <r>
      <rPr>
        <sz val="11"/>
        <color theme="1"/>
        <rFont val="WenQuanYi Zen Hei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660</t>
    </r>
    <r>
      <rPr>
        <sz val="11"/>
        <color theme="1"/>
        <rFont val="WenQuanYi Zen Hei"/>
        <family val="2"/>
      </rPr>
      <t xml:space="preserve">人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</si>
  <si>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 追加処方患者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保守</t>
    </r>
  </si>
  <si>
    <r>
      <rPr>
        <sz val="11"/>
        <color theme="1"/>
        <rFont val="WenQuanYi Zen Hei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290</t>
    </r>
    <r>
      <rPr>
        <sz val="11"/>
        <color theme="1"/>
        <rFont val="WenQuanYi Zen Hei"/>
        <family val="2"/>
      </rPr>
      <t xml:space="preserve">人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</si>
  <si>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 追加処方患者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</si>
  <si>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870</t>
    </r>
    <r>
      <rPr>
        <sz val="11"/>
        <color theme="1"/>
        <rFont val="WenQuanYi Zen Hei"/>
        <family val="2"/>
      </rPr>
      <t xml:space="preserve">人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</si>
  <si>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 追加処方患者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楽観</t>
    </r>
  </si>
  <si>
    <r>
      <rPr>
        <sz val="11"/>
        <color theme="1"/>
        <rFont val="WenQuanYi Zen Hei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1,740</t>
    </r>
    <r>
      <rPr>
        <sz val="11"/>
        <color theme="1"/>
        <rFont val="WenQuanYi Zen Hei"/>
        <family val="2"/>
      </rPr>
      <t xml:space="preserve">人</t>
    </r>
  </si>
  <si>
    <t xml:space="preserve">87%</t>
  </si>
  <si>
    <r>
      <rPr>
        <sz val="11"/>
        <color theme="1"/>
        <rFont val="WenQuanYi Zen Hei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16.2</t>
    </r>
    <r>
      <rPr>
        <sz val="11"/>
        <color theme="1"/>
        <rFont val="WenQuanYi Zen Hei"/>
        <family val="2"/>
      </rPr>
      <t xml:space="preserve">万人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</si>
  <si>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人あたり年間売上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参考値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</si>
  <si>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2.7</t>
    </r>
    <r>
      <rPr>
        <sz val="11"/>
        <color theme="1"/>
        <rFont val="WenQuanYi Zen Hei"/>
        <family val="2"/>
      </rPr>
      <t xml:space="preserve">万円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</si>
  <si>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 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保守</t>
    </r>
  </si>
  <si>
    <r>
      <rPr>
        <sz val="11"/>
        <color theme="1"/>
        <rFont val="Calibri"/>
        <family val="2"/>
        <charset val="1"/>
      </rPr>
      <t xml:space="preserve">+298</t>
    </r>
    <r>
      <rPr>
        <sz val="11"/>
        <color theme="1"/>
        <rFont val="WenQuanYi Zen Hei"/>
        <family val="2"/>
      </rPr>
      <t xml:space="preserve">万円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</si>
  <si>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 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</si>
  <si>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+893</t>
    </r>
    <r>
      <rPr>
        <sz val="11"/>
        <color theme="1"/>
        <rFont val="WenQuanYi Zen Hei"/>
        <family val="2"/>
      </rPr>
      <t xml:space="preserve">万円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</si>
  <si>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案 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楽観</t>
    </r>
  </si>
  <si>
    <r>
      <rPr>
        <sz val="11"/>
        <color theme="1"/>
        <rFont val="Calibri"/>
        <family val="2"/>
        <charset val="1"/>
      </rPr>
      <t xml:space="preserve">+1,787</t>
    </r>
    <r>
      <rPr>
        <sz val="11"/>
        <color theme="1"/>
        <rFont val="WenQuanYi Zen Hei"/>
        <family val="2"/>
      </rPr>
      <t xml:space="preserve">万円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</si>
  <si>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 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保守</t>
    </r>
  </si>
  <si>
    <r>
      <rPr>
        <sz val="11"/>
        <color theme="1"/>
        <rFont val="Calibri"/>
        <family val="2"/>
        <charset val="1"/>
      </rPr>
      <t xml:space="preserve">+785</t>
    </r>
    <r>
      <rPr>
        <sz val="11"/>
        <color theme="1"/>
        <rFont val="WenQuanYi Zen Hei"/>
        <family val="2"/>
      </rPr>
      <t xml:space="preserve">万円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</si>
  <si>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 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</si>
  <si>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+2,355</t>
    </r>
    <r>
      <rPr>
        <sz val="11"/>
        <color theme="1"/>
        <rFont val="WenQuanYi Zen Hei"/>
        <family val="2"/>
      </rPr>
      <t xml:space="preserve">万円</t>
    </r>
  </si>
  <si>
    <r>
      <rPr>
        <sz val="11"/>
        <color theme="1"/>
        <rFont val="WenQuanYi Zen Hei"/>
        <family val="2"/>
      </rPr>
      <t xml:space="preserve">全国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案 追加売上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楽観</t>
    </r>
  </si>
  <si>
    <r>
      <rPr>
        <sz val="11"/>
        <color theme="1"/>
        <rFont val="Calibri"/>
        <family val="2"/>
        <charset val="1"/>
      </rPr>
      <t xml:space="preserve">+4,711</t>
    </r>
    <r>
      <rPr>
        <sz val="11"/>
        <color theme="1"/>
        <rFont val="WenQuanYi Zen Hei"/>
        <family val="2"/>
      </rPr>
      <t xml:space="preserve">万円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</si>
</sst>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WenQuanYi Zen Hei"/>
      <family val="2"/>
    </font>
    <font>
      <sz val="11"/>
      <color theme="1"/>
      <name val="WenQuanYi Zen Hei"/>
      <family val="2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A5B"/>
        <bgColor rgb="FF333333"/>
      </patternFill>
    </fill>
    <fill>
      <patternFill patternType="solid">
        <fgColor rgb="FFFFF4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400</v>
      </c>
      <c r="C4" s="3" t="s">
        <v>6</v>
      </c>
      <c r="D4" s="3" t="s">
        <v>7</v>
      </c>
    </row>
    <row r="5" customFormat="false" ht="15" hidden="false" customHeight="false" outlineLevel="0" collapsed="false">
      <c r="A5" s="3" t="s">
        <v>8</v>
      </c>
      <c r="B5" s="4" t="n">
        <v>0.9</v>
      </c>
      <c r="C5" s="3" t="s">
        <v>9</v>
      </c>
      <c r="D5" s="3" t="s">
        <v>10</v>
      </c>
    </row>
    <row r="6" customFormat="false" ht="15" hidden="false" customHeight="false" outlineLevel="0" collapsed="false">
      <c r="A6" s="3" t="s">
        <v>11</v>
      </c>
      <c r="B6" s="4" t="n">
        <v>0.01</v>
      </c>
      <c r="C6" s="3" t="s">
        <v>9</v>
      </c>
      <c r="D6" s="3" t="s">
        <v>12</v>
      </c>
    </row>
    <row r="7" customFormat="false" ht="15" hidden="false" customHeight="false" outlineLevel="0" collapsed="false">
      <c r="A7" s="3" t="s">
        <v>13</v>
      </c>
      <c r="B7" s="4" t="n">
        <v>0.03</v>
      </c>
      <c r="C7" s="3" t="s">
        <v>9</v>
      </c>
      <c r="D7" s="3" t="s">
        <v>14</v>
      </c>
    </row>
    <row r="8" customFormat="false" ht="15" hidden="false" customHeight="false" outlineLevel="0" collapsed="false">
      <c r="A8" s="3" t="s">
        <v>15</v>
      </c>
      <c r="B8" s="4" t="n">
        <v>0.06</v>
      </c>
      <c r="C8" s="3" t="s">
        <v>9</v>
      </c>
      <c r="D8" s="3" t="s">
        <v>16</v>
      </c>
    </row>
    <row r="9" customFormat="false" ht="15" hidden="false" customHeight="false" outlineLevel="0" collapsed="false">
      <c r="A9" s="3" t="s">
        <v>17</v>
      </c>
      <c r="B9" s="4" t="n">
        <v>5000000000</v>
      </c>
      <c r="C9" s="3" t="s">
        <v>6</v>
      </c>
      <c r="D9" s="3" t="s">
        <v>18</v>
      </c>
    </row>
    <row r="10" customFormat="false" ht="15" hidden="false" customHeight="false" outlineLevel="0" collapsed="false">
      <c r="A10" s="3" t="s">
        <v>19</v>
      </c>
      <c r="B10" s="4" t="n">
        <v>62161</v>
      </c>
      <c r="C10" s="3" t="s">
        <v>6</v>
      </c>
      <c r="D10" s="3" t="s">
        <v>20</v>
      </c>
    </row>
    <row r="11" customFormat="false" ht="15" hidden="false" customHeight="false" outlineLevel="0" collapsed="false">
      <c r="A11" s="3" t="s">
        <v>21</v>
      </c>
      <c r="B11" s="4" t="n">
        <v>9330</v>
      </c>
      <c r="C11" s="3" t="s">
        <v>22</v>
      </c>
      <c r="D11" s="3" t="s">
        <v>23</v>
      </c>
    </row>
    <row r="12" customFormat="false" ht="15" hidden="false" customHeight="false" outlineLevel="0" collapsed="false">
      <c r="A12" s="3" t="s">
        <v>24</v>
      </c>
      <c r="B12" s="4" t="n">
        <v>2072</v>
      </c>
      <c r="C12" s="3" t="s">
        <v>25</v>
      </c>
      <c r="D12" s="5" t="s">
        <v>26</v>
      </c>
    </row>
    <row r="13" customFormat="false" ht="15" hidden="false" customHeight="false" outlineLevel="0" collapsed="false">
      <c r="A13" s="3" t="s">
        <v>27</v>
      </c>
      <c r="B13" s="4" t="n">
        <v>1214</v>
      </c>
      <c r="C13" s="3" t="s">
        <v>25</v>
      </c>
      <c r="D13" s="5" t="s">
        <v>26</v>
      </c>
    </row>
    <row r="14" customFormat="false" ht="15" hidden="false" customHeight="false" outlineLevel="0" collapsed="false">
      <c r="A14" s="3" t="s">
        <v>28</v>
      </c>
      <c r="B14" s="4" t="n">
        <v>1232</v>
      </c>
      <c r="C14" s="3" t="s">
        <v>25</v>
      </c>
      <c r="D14" s="5" t="s">
        <v>29</v>
      </c>
    </row>
    <row r="15" customFormat="false" ht="15" hidden="false" customHeight="false" outlineLevel="0" collapsed="false">
      <c r="A15" s="3" t="s">
        <v>30</v>
      </c>
      <c r="B15" s="4" t="n">
        <v>482</v>
      </c>
      <c r="C15" s="3" t="s">
        <v>25</v>
      </c>
      <c r="D15" s="5" t="s">
        <v>29</v>
      </c>
    </row>
    <row r="16" customFormat="false" ht="15" hidden="false" customHeight="false" outlineLevel="0" collapsed="false">
      <c r="A16" s="3" t="s">
        <v>31</v>
      </c>
      <c r="B16" s="4" t="n">
        <v>3842</v>
      </c>
      <c r="C16" s="3" t="s">
        <v>25</v>
      </c>
      <c r="D16" s="5" t="s">
        <v>32</v>
      </c>
    </row>
    <row r="17" customFormat="false" ht="15" hidden="false" customHeight="false" outlineLevel="0" collapsed="false">
      <c r="A17" s="3" t="s">
        <v>33</v>
      </c>
      <c r="B17" s="4" t="n">
        <v>6020</v>
      </c>
      <c r="C17" s="3" t="s">
        <v>25</v>
      </c>
      <c r="D17" s="5" t="s">
        <v>32</v>
      </c>
    </row>
    <row r="18" customFormat="false" ht="15" hidden="false" customHeight="false" outlineLevel="0" collapsed="false">
      <c r="A18" s="3" t="s">
        <v>34</v>
      </c>
      <c r="B18" s="4" t="n">
        <v>1177</v>
      </c>
      <c r="C18" s="3" t="s">
        <v>25</v>
      </c>
      <c r="D18" s="5" t="s">
        <v>32</v>
      </c>
    </row>
    <row r="19" customFormat="false" ht="15" hidden="false" customHeight="false" outlineLevel="0" collapsed="false">
      <c r="A19" s="3" t="s">
        <v>35</v>
      </c>
      <c r="B19" s="4" t="n">
        <v>241</v>
      </c>
      <c r="C19" s="3" t="s">
        <v>25</v>
      </c>
      <c r="D19" s="5" t="s">
        <v>32</v>
      </c>
    </row>
    <row r="20" customFormat="false" ht="15" hidden="false" customHeight="false" outlineLevel="0" collapsed="false">
      <c r="A20" s="3" t="s">
        <v>36</v>
      </c>
      <c r="B20" s="4" t="n">
        <v>4004</v>
      </c>
      <c r="C20" s="3" t="s">
        <v>25</v>
      </c>
      <c r="D20" s="5" t="s">
        <v>37</v>
      </c>
    </row>
    <row r="21" customFormat="false" ht="15" hidden="false" customHeight="false" outlineLevel="0" collapsed="false">
      <c r="A21" s="3" t="s">
        <v>38</v>
      </c>
      <c r="B21" s="4" t="n">
        <v>1651</v>
      </c>
      <c r="C21" s="3" t="s">
        <v>25</v>
      </c>
      <c r="D21" s="5" t="s">
        <v>39</v>
      </c>
    </row>
    <row r="22" customFormat="false" ht="15" hidden="false" customHeight="false" outlineLevel="0" collapsed="false">
      <c r="A22" s="3" t="s">
        <v>40</v>
      </c>
      <c r="B22" s="4" t="n">
        <v>1032</v>
      </c>
      <c r="C22" s="3" t="s">
        <v>25</v>
      </c>
      <c r="D22" s="5" t="s">
        <v>39</v>
      </c>
    </row>
    <row r="23" customFormat="false" ht="15" hidden="false" customHeight="false" outlineLevel="0" collapsed="false">
      <c r="A23" s="3" t="s">
        <v>41</v>
      </c>
      <c r="B23" s="4" t="n">
        <v>292</v>
      </c>
      <c r="C23" s="3" t="s">
        <v>25</v>
      </c>
      <c r="D23" s="3" t="s">
        <v>42</v>
      </c>
    </row>
    <row r="24" customFormat="false" ht="15" hidden="false" customHeight="false" outlineLevel="0" collapsed="false">
      <c r="A24" s="3" t="s">
        <v>43</v>
      </c>
      <c r="B24" s="4" t="n">
        <v>409</v>
      </c>
      <c r="C24" s="3" t="s">
        <v>25</v>
      </c>
      <c r="D24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24" min="3" style="0" width="11"/>
  </cols>
  <sheetData>
    <row r="1" customFormat="false" ht="15" hidden="false" customHeight="false" outlineLevel="0" collapsed="false">
      <c r="A1" s="1" t="s">
        <v>45</v>
      </c>
    </row>
    <row r="3" customFormat="false" ht="28.35" hidden="false" customHeight="false" outlineLevel="0" collapsed="false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6" t="s">
        <v>51</v>
      </c>
      <c r="G3" s="2" t="s">
        <v>52</v>
      </c>
      <c r="H3" s="2" t="s">
        <v>53</v>
      </c>
      <c r="I3" s="6" t="s">
        <v>54</v>
      </c>
      <c r="J3" s="6" t="s">
        <v>55</v>
      </c>
      <c r="K3" s="2" t="s">
        <v>56</v>
      </c>
      <c r="L3" s="6" t="s">
        <v>57</v>
      </c>
      <c r="M3" s="6" t="s">
        <v>58</v>
      </c>
      <c r="N3" s="6" t="s">
        <v>59</v>
      </c>
      <c r="O3" s="6" t="s">
        <v>60</v>
      </c>
      <c r="P3" s="2" t="s">
        <v>61</v>
      </c>
      <c r="Q3" s="2" t="s">
        <v>62</v>
      </c>
      <c r="R3" s="2" t="s">
        <v>63</v>
      </c>
      <c r="S3" s="6" t="s">
        <v>64</v>
      </c>
      <c r="T3" s="6" t="s">
        <v>65</v>
      </c>
      <c r="U3" s="6" t="s">
        <v>66</v>
      </c>
      <c r="V3" s="6" t="s">
        <v>67</v>
      </c>
      <c r="W3" s="6" t="s">
        <v>68</v>
      </c>
      <c r="X3" s="6" t="s">
        <v>69</v>
      </c>
    </row>
    <row r="4" customFormat="false" ht="15" hidden="false" customHeight="false" outlineLevel="0" collapsed="false">
      <c r="A4" s="0" t="s">
        <v>70</v>
      </c>
      <c r="B4" s="3" t="s">
        <v>71</v>
      </c>
      <c r="C4" s="0" t="n">
        <v>89</v>
      </c>
      <c r="D4" s="0" t="n">
        <v>880</v>
      </c>
      <c r="E4" s="0" t="n">
        <v>0.0969387755102041</v>
      </c>
      <c r="F4" s="0" t="n">
        <v>0.487244897959184</v>
      </c>
      <c r="G4" s="0" t="n">
        <v>0.775590551181102</v>
      </c>
      <c r="H4" s="0" t="n">
        <v>0</v>
      </c>
      <c r="I4" s="0" t="n">
        <v>12</v>
      </c>
      <c r="J4" s="0" t="n">
        <v>12</v>
      </c>
      <c r="K4" s="0" t="n">
        <f aca="false">C4*H4*E4*UNIT</f>
        <v>0</v>
      </c>
      <c r="L4" s="0" t="n">
        <f aca="false">C4*I4*E4*UNIT</f>
        <v>41412.2448979592</v>
      </c>
      <c r="M4" s="0" t="n">
        <f aca="false">C4*J4*E4*UNIT</f>
        <v>41412.2448979592</v>
      </c>
      <c r="N4" s="0" t="n">
        <f aca="false">L4-K4</f>
        <v>41412.2448979592</v>
      </c>
      <c r="O4" s="0" t="n">
        <f aca="false">M4-K4</f>
        <v>41412.2448979592</v>
      </c>
      <c r="P4" s="0" t="n">
        <f aca="false">IF(H4=0,0,1-(1-F4)^(H4/10))</f>
        <v>0</v>
      </c>
      <c r="Q4" s="0" t="n">
        <f aca="false">IF(I4=0,0,1-(1-F4)^(I4/10))</f>
        <v>0.551366201732937</v>
      </c>
      <c r="R4" s="0" t="n">
        <f aca="false">IF(J4=0,0,1-(1-F4)^(J4/10))</f>
        <v>0.551366201732937</v>
      </c>
      <c r="S4" s="0" t="n">
        <f aca="false">(Q4-P4)*D4*G4*CONV_L</f>
        <v>3.76318286348118</v>
      </c>
      <c r="T4" s="0" t="n">
        <f aca="false">(Q4-P4)*D4*G4*CONV_M</f>
        <v>11.2895485904435</v>
      </c>
      <c r="U4" s="0" t="n">
        <f aca="false">(Q4-P4)*D4*G4*CONV_H</f>
        <v>22.5790971808871</v>
      </c>
      <c r="V4" s="0" t="n">
        <f aca="false">(R4-P4)*D4*G4*CONV_L</f>
        <v>3.76318286348118</v>
      </c>
      <c r="W4" s="0" t="n">
        <f aca="false">(R4-P4)*D4*G4*CONV_M</f>
        <v>11.2895485904435</v>
      </c>
      <c r="X4" s="0" t="n">
        <f aca="false">(R4-P4)*D4*G4*CONV_H</f>
        <v>22.5790971808871</v>
      </c>
    </row>
    <row r="5" customFormat="false" ht="15" hidden="false" customHeight="false" outlineLevel="0" collapsed="false">
      <c r="A5" s="0" t="s">
        <v>70</v>
      </c>
      <c r="B5" s="3" t="s">
        <v>72</v>
      </c>
      <c r="C5" s="0" t="n">
        <v>102</v>
      </c>
      <c r="D5" s="0" t="n">
        <v>1162</v>
      </c>
      <c r="E5" s="0" t="n">
        <v>0.0969387755102041</v>
      </c>
      <c r="F5" s="0" t="n">
        <v>0.487244897959184</v>
      </c>
      <c r="G5" s="0" t="n">
        <v>0.775590551181102</v>
      </c>
      <c r="H5" s="0" t="n">
        <v>0</v>
      </c>
      <c r="I5" s="0" t="n">
        <v>12</v>
      </c>
      <c r="J5" s="0" t="n">
        <v>12</v>
      </c>
      <c r="K5" s="0" t="n">
        <f aca="false">C5*H5*E5*UNIT</f>
        <v>0</v>
      </c>
      <c r="L5" s="0" t="n">
        <f aca="false">C5*I5*E5*UNIT</f>
        <v>47461.2244897959</v>
      </c>
      <c r="M5" s="0" t="n">
        <f aca="false">C5*J5*E5*UNIT</f>
        <v>47461.2244897959</v>
      </c>
      <c r="N5" s="0" t="n">
        <f aca="false">L5-K5</f>
        <v>47461.2244897959</v>
      </c>
      <c r="O5" s="0" t="n">
        <f aca="false">M5-K5</f>
        <v>47461.2244897959</v>
      </c>
      <c r="P5" s="0" t="n">
        <f aca="false">IF(H5=0,0,1-(1-F5)^(H5/10))</f>
        <v>0</v>
      </c>
      <c r="Q5" s="0" t="n">
        <f aca="false">IF(I5=0,0,1-(1-F5)^(I5/10))</f>
        <v>0.551366201732937</v>
      </c>
      <c r="R5" s="0" t="n">
        <f aca="false">IF(J5=0,0,1-(1-F5)^(J5/10))</f>
        <v>0.551366201732937</v>
      </c>
      <c r="S5" s="0" t="n">
        <f aca="false">(Q5-P5)*D5*G5*CONV_L</f>
        <v>4.96911191746037</v>
      </c>
      <c r="T5" s="0" t="n">
        <f aca="false">(Q5-P5)*D5*G5*CONV_M</f>
        <v>14.9073357523811</v>
      </c>
      <c r="U5" s="0" t="n">
        <f aca="false">(Q5-P5)*D5*G5*CONV_H</f>
        <v>29.8146715047622</v>
      </c>
      <c r="V5" s="0" t="n">
        <f aca="false">(R5-P5)*D5*G5*CONV_L</f>
        <v>4.96911191746037</v>
      </c>
      <c r="W5" s="0" t="n">
        <f aca="false">(R5-P5)*D5*G5*CONV_M</f>
        <v>14.9073357523811</v>
      </c>
      <c r="X5" s="0" t="n">
        <f aca="false">(R5-P5)*D5*G5*CONV_H</f>
        <v>29.8146715047622</v>
      </c>
    </row>
    <row r="6" customFormat="false" ht="15" hidden="false" customHeight="false" outlineLevel="0" collapsed="false">
      <c r="A6" s="0" t="s">
        <v>73</v>
      </c>
      <c r="B6" s="3" t="s">
        <v>71</v>
      </c>
      <c r="C6" s="0" t="n">
        <v>162</v>
      </c>
      <c r="D6" s="0" t="n">
        <v>1526</v>
      </c>
      <c r="E6" s="0" t="n">
        <v>0.0969387755102041</v>
      </c>
      <c r="F6" s="0" t="n">
        <v>0.487244897959184</v>
      </c>
      <c r="G6" s="0" t="n">
        <v>0.775590551181102</v>
      </c>
      <c r="H6" s="0" t="n">
        <v>10</v>
      </c>
      <c r="I6" s="0" t="n">
        <v>12</v>
      </c>
      <c r="J6" s="0" t="n">
        <v>12</v>
      </c>
      <c r="K6" s="0" t="n">
        <f aca="false">C6*H6*E6*UNIT</f>
        <v>62816.3265306122</v>
      </c>
      <c r="L6" s="0" t="n">
        <f aca="false">C6*I6*E6*UNIT</f>
        <v>75379.5918367347</v>
      </c>
      <c r="M6" s="0" t="n">
        <f aca="false">C6*J6*E6*UNIT</f>
        <v>75379.5918367347</v>
      </c>
      <c r="N6" s="0" t="n">
        <f aca="false">L6-K6</f>
        <v>12563.2653061224</v>
      </c>
      <c r="O6" s="0" t="n">
        <f aca="false">M6-K6</f>
        <v>12563.2653061224</v>
      </c>
      <c r="P6" s="0" t="n">
        <f aca="false">IF(H6=0,0,1-(1-F6)^(H6/10))</f>
        <v>0.487244897959184</v>
      </c>
      <c r="Q6" s="0" t="n">
        <f aca="false">IF(I6=0,0,1-(1-F6)^(I6/10))</f>
        <v>0.551366201732937</v>
      </c>
      <c r="R6" s="0" t="n">
        <f aca="false">IF(J6=0,0,1-(1-F6)^(J6/10))</f>
        <v>0.551366201732937</v>
      </c>
      <c r="S6" s="0" t="n">
        <f aca="false">(Q6-P6)*D6*G6*CONV_L</f>
        <v>0.758908448152488</v>
      </c>
      <c r="T6" s="0" t="n">
        <f aca="false">(Q6-P6)*D6*G6*CONV_M</f>
        <v>2.27672534445746</v>
      </c>
      <c r="U6" s="0" t="n">
        <f aca="false">(Q6-P6)*D6*G6*CONV_H</f>
        <v>4.55345068891492</v>
      </c>
      <c r="V6" s="0" t="n">
        <f aca="false">(R6-P6)*D6*G6*CONV_L</f>
        <v>0.758908448152488</v>
      </c>
      <c r="W6" s="0" t="n">
        <f aca="false">(R6-P6)*D6*G6*CONV_M</f>
        <v>2.27672534445746</v>
      </c>
      <c r="X6" s="0" t="n">
        <f aca="false">(R6-P6)*D6*G6*CONV_H</f>
        <v>4.55345068891492</v>
      </c>
    </row>
    <row r="7" customFormat="false" ht="15" hidden="false" customHeight="false" outlineLevel="0" collapsed="false">
      <c r="A7" s="0" t="s">
        <v>73</v>
      </c>
      <c r="B7" s="3" t="s">
        <v>72</v>
      </c>
      <c r="C7" s="0" t="n">
        <v>230</v>
      </c>
      <c r="D7" s="0" t="n">
        <v>2479</v>
      </c>
      <c r="E7" s="0" t="n">
        <v>0.0969387755102041</v>
      </c>
      <c r="F7" s="0" t="n">
        <v>0.487244897959184</v>
      </c>
      <c r="G7" s="0" t="n">
        <v>0.775590551181102</v>
      </c>
      <c r="H7" s="0" t="n">
        <v>10</v>
      </c>
      <c r="I7" s="0" t="n">
        <v>12</v>
      </c>
      <c r="J7" s="0" t="n">
        <v>12</v>
      </c>
      <c r="K7" s="0" t="n">
        <f aca="false">C7*H7*E7*UNIT</f>
        <v>89183.6734693878</v>
      </c>
      <c r="L7" s="0" t="n">
        <f aca="false">C7*I7*E7*UNIT</f>
        <v>107020.408163265</v>
      </c>
      <c r="M7" s="0" t="n">
        <f aca="false">C7*J7*E7*UNIT</f>
        <v>107020.408163265</v>
      </c>
      <c r="N7" s="0" t="n">
        <f aca="false">L7-K7</f>
        <v>17836.7346938775</v>
      </c>
      <c r="O7" s="0" t="n">
        <f aca="false">M7-K7</f>
        <v>17836.7346938775</v>
      </c>
      <c r="P7" s="0" t="n">
        <f aca="false">IF(H7=0,0,1-(1-F7)^(H7/10))</f>
        <v>0.487244897959184</v>
      </c>
      <c r="Q7" s="0" t="n">
        <f aca="false">IF(I7=0,0,1-(1-F7)^(I7/10))</f>
        <v>0.551366201732937</v>
      </c>
      <c r="R7" s="0" t="n">
        <f aca="false">IF(J7=0,0,1-(1-F7)^(J7/10))</f>
        <v>0.551366201732937</v>
      </c>
      <c r="S7" s="0" t="n">
        <f aca="false">(Q7-P7)*D7*G7*CONV_L</f>
        <v>1.23285323916777</v>
      </c>
      <c r="T7" s="0" t="n">
        <f aca="false">(Q7-P7)*D7*G7*CONV_M</f>
        <v>3.69855971750331</v>
      </c>
      <c r="U7" s="0" t="n">
        <f aca="false">(Q7-P7)*D7*G7*CONV_H</f>
        <v>7.39711943500662</v>
      </c>
      <c r="V7" s="0" t="n">
        <f aca="false">(R7-P7)*D7*G7*CONV_L</f>
        <v>1.23285323916777</v>
      </c>
      <c r="W7" s="0" t="n">
        <f aca="false">(R7-P7)*D7*G7*CONV_M</f>
        <v>3.69855971750331</v>
      </c>
      <c r="X7" s="0" t="n">
        <f aca="false">(R7-P7)*D7*G7*CONV_H</f>
        <v>7.39711943500662</v>
      </c>
    </row>
    <row r="8" customFormat="false" ht="15" hidden="false" customHeight="false" outlineLevel="0" collapsed="false">
      <c r="A8" s="0" t="s">
        <v>74</v>
      </c>
      <c r="B8" s="3" t="s">
        <v>71</v>
      </c>
      <c r="C8" s="0" t="n">
        <v>343</v>
      </c>
      <c r="D8" s="0" t="n">
        <v>551</v>
      </c>
      <c r="E8" s="0" t="n">
        <v>0.117321248741188</v>
      </c>
      <c r="F8" s="0" t="n">
        <v>0.511581067472306</v>
      </c>
      <c r="G8" s="0" t="n">
        <v>2.16060606060606</v>
      </c>
      <c r="H8" s="0" t="n">
        <v>10</v>
      </c>
      <c r="I8" s="0" t="n">
        <v>6</v>
      </c>
      <c r="J8" s="0" t="n">
        <v>6</v>
      </c>
      <c r="K8" s="0" t="n">
        <f aca="false">C8*H8*E8*UNIT</f>
        <v>160964.75327291</v>
      </c>
      <c r="L8" s="0" t="n">
        <f aca="false">C8*I8*E8*UNIT</f>
        <v>96578.8519637462</v>
      </c>
      <c r="M8" s="0" t="n">
        <f aca="false">C8*J8*E8*UNIT</f>
        <v>96578.8519637462</v>
      </c>
      <c r="N8" s="0" t="n">
        <f aca="false">L8-K8</f>
        <v>-64385.9013091641</v>
      </c>
      <c r="O8" s="0" t="n">
        <f aca="false">M8-K8</f>
        <v>-64385.9013091641</v>
      </c>
      <c r="P8" s="0" t="n">
        <f aca="false">IF(H8=0,0,1-(1-F8)^(H8/10))</f>
        <v>0.511581067472306</v>
      </c>
      <c r="Q8" s="0" t="n">
        <f aca="false">IF(I8=0,0,1-(1-F8)^(I8/10))</f>
        <v>0.349457770013481</v>
      </c>
      <c r="R8" s="0" t="n">
        <f aca="false">IF(J8=0,0,1-(1-F8)^(J8/10))</f>
        <v>0.349457770013481</v>
      </c>
      <c r="S8" s="0" t="n">
        <f aca="false">(Q8-P8)*D8*G8*CONV_L</f>
        <v>-1.93006803059293</v>
      </c>
      <c r="T8" s="0" t="n">
        <f aca="false">(Q8-P8)*D8*G8*CONV_M</f>
        <v>-5.79020409177878</v>
      </c>
      <c r="U8" s="0" t="n">
        <f aca="false">(Q8-P8)*D8*G8*CONV_H</f>
        <v>-11.5804081835576</v>
      </c>
      <c r="V8" s="0" t="n">
        <f aca="false">(R8-P8)*D8*G8*CONV_L</f>
        <v>-1.93006803059293</v>
      </c>
      <c r="W8" s="0" t="n">
        <f aca="false">(R8-P8)*D8*G8*CONV_M</f>
        <v>-5.79020409177878</v>
      </c>
      <c r="X8" s="0" t="n">
        <f aca="false">(R8-P8)*D8*G8*CONV_H</f>
        <v>-11.5804081835576</v>
      </c>
    </row>
    <row r="9" customFormat="false" ht="15" hidden="false" customHeight="false" outlineLevel="0" collapsed="false">
      <c r="A9" s="0" t="s">
        <v>74</v>
      </c>
      <c r="B9" s="3" t="s">
        <v>72</v>
      </c>
      <c r="C9" s="0" t="n">
        <v>67</v>
      </c>
      <c r="D9" s="0" t="n">
        <v>117</v>
      </c>
      <c r="E9" s="0" t="n">
        <v>0.117321248741188</v>
      </c>
      <c r="F9" s="0" t="n">
        <v>0.511581067472306</v>
      </c>
      <c r="G9" s="0" t="n">
        <v>2.16060606060606</v>
      </c>
      <c r="H9" s="0" t="n">
        <v>10</v>
      </c>
      <c r="I9" s="0" t="n">
        <v>6</v>
      </c>
      <c r="J9" s="0" t="n">
        <v>6</v>
      </c>
      <c r="K9" s="0" t="n">
        <f aca="false">C9*H9*E9*UNIT</f>
        <v>31442.0946626385</v>
      </c>
      <c r="L9" s="0" t="n">
        <f aca="false">C9*I9*E9*UNIT</f>
        <v>18865.2567975831</v>
      </c>
      <c r="M9" s="0" t="n">
        <f aca="false">C9*J9*E9*UNIT</f>
        <v>18865.2567975831</v>
      </c>
      <c r="N9" s="0" t="n">
        <f aca="false">L9-K9</f>
        <v>-12576.8378650554</v>
      </c>
      <c r="O9" s="0" t="n">
        <f aca="false">M9-K9</f>
        <v>-12576.8378650554</v>
      </c>
      <c r="P9" s="0" t="n">
        <f aca="false">IF(H9=0,0,1-(1-F9)^(H9/10))</f>
        <v>0.511581067472306</v>
      </c>
      <c r="Q9" s="0" t="n">
        <f aca="false">IF(I9=0,0,1-(1-F9)^(I9/10))</f>
        <v>0.349457770013481</v>
      </c>
      <c r="R9" s="0" t="n">
        <f aca="false">IF(J9=0,0,1-(1-F9)^(J9/10))</f>
        <v>0.349457770013481</v>
      </c>
      <c r="S9" s="0" t="n">
        <f aca="false">(Q9-P9)*D9*G9*CONV_L</f>
        <v>-0.409832957494324</v>
      </c>
      <c r="T9" s="0" t="n">
        <f aca="false">(Q9-P9)*D9*G9*CONV_M</f>
        <v>-1.22949887248297</v>
      </c>
      <c r="U9" s="0" t="n">
        <f aca="false">(Q9-P9)*D9*G9*CONV_H</f>
        <v>-2.45899774496594</v>
      </c>
      <c r="V9" s="0" t="n">
        <f aca="false">(R9-P9)*D9*G9*CONV_L</f>
        <v>-0.409832957494324</v>
      </c>
      <c r="W9" s="0" t="n">
        <f aca="false">(R9-P9)*D9*G9*CONV_M</f>
        <v>-1.22949887248297</v>
      </c>
      <c r="X9" s="0" t="n">
        <f aca="false">(R9-P9)*D9*G9*CONV_H</f>
        <v>-2.45899774496594</v>
      </c>
    </row>
    <row r="10" customFormat="false" ht="15" hidden="false" customHeight="false" outlineLevel="0" collapsed="false">
      <c r="A10" s="0" t="s">
        <v>74</v>
      </c>
      <c r="B10" s="3" t="s">
        <v>75</v>
      </c>
      <c r="C10" s="0" t="n">
        <v>390</v>
      </c>
      <c r="D10" s="0" t="n">
        <v>585</v>
      </c>
      <c r="E10" s="0" t="n">
        <v>0.117321248741188</v>
      </c>
      <c r="F10" s="0" t="n">
        <v>0.511581067472306</v>
      </c>
      <c r="G10" s="0" t="n">
        <v>2.16060606060606</v>
      </c>
      <c r="H10" s="0" t="n">
        <v>10</v>
      </c>
      <c r="I10" s="0" t="n">
        <v>6</v>
      </c>
      <c r="J10" s="0" t="n">
        <v>6</v>
      </c>
      <c r="K10" s="0" t="n">
        <f aca="false">C10*H10*E10*UNIT</f>
        <v>183021.148036254</v>
      </c>
      <c r="L10" s="0" t="n">
        <f aca="false">C10*I10*E10*UNIT</f>
        <v>109812.688821752</v>
      </c>
      <c r="M10" s="0" t="n">
        <f aca="false">C10*J10*E10*UNIT</f>
        <v>109812.688821752</v>
      </c>
      <c r="N10" s="0" t="n">
        <f aca="false">L10-K10</f>
        <v>-73208.4592145015</v>
      </c>
      <c r="O10" s="0" t="n">
        <f aca="false">M10-K10</f>
        <v>-73208.4592145015</v>
      </c>
      <c r="P10" s="0" t="n">
        <f aca="false">IF(H10=0,0,1-(1-F10)^(H10/10))</f>
        <v>0.511581067472306</v>
      </c>
      <c r="Q10" s="0" t="n">
        <f aca="false">IF(I10=0,0,1-(1-F10)^(I10/10))</f>
        <v>0.349457770013481</v>
      </c>
      <c r="R10" s="0" t="n">
        <f aca="false">IF(J10=0,0,1-(1-F10)^(J10/10))</f>
        <v>0.349457770013481</v>
      </c>
      <c r="S10" s="0" t="n">
        <f aca="false">(Q10-P10)*D10*G10*CONV_L</f>
        <v>-2.04916478747162</v>
      </c>
      <c r="T10" s="0" t="n">
        <f aca="false">(Q10-P10)*D10*G10*CONV_M</f>
        <v>-6.14749436241486</v>
      </c>
      <c r="U10" s="0" t="n">
        <f aca="false">(Q10-P10)*D10*G10*CONV_H</f>
        <v>-12.2949887248297</v>
      </c>
      <c r="V10" s="0" t="n">
        <f aca="false">(R10-P10)*D10*G10*CONV_L</f>
        <v>-2.04916478747162</v>
      </c>
      <c r="W10" s="0" t="n">
        <f aca="false">(R10-P10)*D10*G10*CONV_M</f>
        <v>-6.14749436241486</v>
      </c>
      <c r="X10" s="0" t="n">
        <f aca="false">(R10-P10)*D10*G10*CONV_H</f>
        <v>-12.2949887248297</v>
      </c>
    </row>
    <row r="11" customFormat="false" ht="15" hidden="false" customHeight="false" outlineLevel="0" collapsed="false">
      <c r="A11" s="0" t="s">
        <v>74</v>
      </c>
      <c r="B11" s="3" t="s">
        <v>76</v>
      </c>
      <c r="C11" s="0" t="n">
        <v>193</v>
      </c>
      <c r="D11" s="0" t="n">
        <v>258</v>
      </c>
      <c r="E11" s="0" t="n">
        <v>0.117321248741188</v>
      </c>
      <c r="F11" s="0" t="n">
        <v>0.511581067472306</v>
      </c>
      <c r="G11" s="0" t="n">
        <v>2.16060606060606</v>
      </c>
      <c r="H11" s="0" t="n">
        <v>10</v>
      </c>
      <c r="I11" s="0" t="n">
        <v>6</v>
      </c>
      <c r="J11" s="0" t="n">
        <v>6</v>
      </c>
      <c r="K11" s="0" t="n">
        <f aca="false">C11*H11*E11*UNIT</f>
        <v>90572.0040281974</v>
      </c>
      <c r="L11" s="0" t="n">
        <f aca="false">C11*I11*E11*UNIT</f>
        <v>54343.2024169184</v>
      </c>
      <c r="M11" s="0" t="n">
        <f aca="false">C11*J11*E11*UNIT</f>
        <v>54343.2024169184</v>
      </c>
      <c r="N11" s="0" t="n">
        <f aca="false">L11-K11</f>
        <v>-36228.801611279</v>
      </c>
      <c r="O11" s="0" t="n">
        <f aca="false">M11-K11</f>
        <v>-36228.801611279</v>
      </c>
      <c r="P11" s="0" t="n">
        <f aca="false">IF(H11=0,0,1-(1-F11)^(H11/10))</f>
        <v>0.511581067472306</v>
      </c>
      <c r="Q11" s="0" t="n">
        <f aca="false">IF(I11=0,0,1-(1-F11)^(I11/10))</f>
        <v>0.349457770013481</v>
      </c>
      <c r="R11" s="0" t="n">
        <f aca="false">IF(J11=0,0,1-(1-F11)^(J11/10))</f>
        <v>0.349457770013481</v>
      </c>
      <c r="S11" s="0" t="n">
        <f aca="false">(Q11-P11)*D11*G11*CONV_L</f>
        <v>-0.903734213961843</v>
      </c>
      <c r="T11" s="0" t="n">
        <f aca="false">(Q11-P11)*D11*G11*CONV_M</f>
        <v>-2.71120264188553</v>
      </c>
      <c r="U11" s="0" t="n">
        <f aca="false">(Q11-P11)*D11*G11*CONV_H</f>
        <v>-5.42240528377106</v>
      </c>
      <c r="V11" s="0" t="n">
        <f aca="false">(R11-P11)*D11*G11*CONV_L</f>
        <v>-0.903734213961843</v>
      </c>
      <c r="W11" s="0" t="n">
        <f aca="false">(R11-P11)*D11*G11*CONV_M</f>
        <v>-2.71120264188553</v>
      </c>
      <c r="X11" s="0" t="n">
        <f aca="false">(R11-P11)*D11*G11*CONV_H</f>
        <v>-5.42240528377106</v>
      </c>
    </row>
    <row r="12" customFormat="false" ht="15" hidden="false" customHeight="false" outlineLevel="0" collapsed="false">
      <c r="A12" s="0" t="s">
        <v>77</v>
      </c>
      <c r="B12" s="3" t="s">
        <v>71</v>
      </c>
      <c r="C12" s="0" t="n">
        <v>31</v>
      </c>
      <c r="D12" s="0" t="n">
        <v>281</v>
      </c>
      <c r="E12" s="0" t="n">
        <v>0.0914634146341463</v>
      </c>
      <c r="F12" s="0" t="n">
        <v>0.390243902439024</v>
      </c>
      <c r="G12" s="0" t="n">
        <v>0.775590551181102</v>
      </c>
      <c r="H12" s="0" t="n">
        <v>10</v>
      </c>
      <c r="I12" s="0" t="n">
        <v>10</v>
      </c>
      <c r="J12" s="0" t="n">
        <v>10</v>
      </c>
      <c r="K12" s="0" t="n">
        <f aca="false">C12*H12*E12*UNIT</f>
        <v>11341.4634146341</v>
      </c>
      <c r="L12" s="0" t="n">
        <f aca="false">C12*I12*E12*UNIT</f>
        <v>11341.4634146341</v>
      </c>
      <c r="M12" s="0" t="n">
        <f aca="false">C12*J12*E12*UNIT</f>
        <v>11341.4634146341</v>
      </c>
      <c r="N12" s="0" t="n">
        <f aca="false">L12-K12</f>
        <v>0</v>
      </c>
      <c r="O12" s="0" t="n">
        <f aca="false">M12-K12</f>
        <v>0</v>
      </c>
      <c r="P12" s="0" t="n">
        <f aca="false">IF(H12=0,0,1-(1-F12)^(H12/10))</f>
        <v>0.390243902439024</v>
      </c>
      <c r="Q12" s="0" t="n">
        <f aca="false">IF(I12=0,0,1-(1-F12)^(I12/10))</f>
        <v>0.390243902439024</v>
      </c>
      <c r="R12" s="0" t="n">
        <f aca="false">IF(J12=0,0,1-(1-F12)^(J12/10))</f>
        <v>0.390243902439024</v>
      </c>
      <c r="S12" s="0" t="n">
        <f aca="false">(Q12-P12)*D12*G12*CONV_L</f>
        <v>0</v>
      </c>
      <c r="T12" s="0" t="n">
        <f aca="false">(Q12-P12)*D12*G12*CONV_M</f>
        <v>0</v>
      </c>
      <c r="U12" s="0" t="n">
        <f aca="false">(Q12-P12)*D12*G12*CONV_H</f>
        <v>0</v>
      </c>
      <c r="V12" s="0" t="n">
        <f aca="false">(R12-P12)*D12*G12*CONV_L</f>
        <v>0</v>
      </c>
      <c r="W12" s="0" t="n">
        <f aca="false">(R12-P12)*D12*G12*CONV_M</f>
        <v>0</v>
      </c>
      <c r="X12" s="0" t="n">
        <f aca="false">(R12-P12)*D12*G12*CONV_H</f>
        <v>0</v>
      </c>
    </row>
    <row r="13" customFormat="false" ht="15" hidden="false" customHeight="false" outlineLevel="0" collapsed="false">
      <c r="A13" s="0" t="s">
        <v>77</v>
      </c>
      <c r="B13" s="3" t="s">
        <v>72</v>
      </c>
      <c r="C13" s="0" t="n">
        <v>51</v>
      </c>
      <c r="D13" s="0" t="n">
        <v>506</v>
      </c>
      <c r="E13" s="0" t="n">
        <v>0.0914634146341463</v>
      </c>
      <c r="F13" s="0" t="n">
        <v>0.390243902439024</v>
      </c>
      <c r="G13" s="0" t="n">
        <v>0.775590551181102</v>
      </c>
      <c r="H13" s="0" t="n">
        <v>10</v>
      </c>
      <c r="I13" s="0" t="n">
        <v>10</v>
      </c>
      <c r="J13" s="0" t="n">
        <v>10</v>
      </c>
      <c r="K13" s="0" t="n">
        <f aca="false">C13*H13*E13*UNIT</f>
        <v>18658.5365853659</v>
      </c>
      <c r="L13" s="0" t="n">
        <f aca="false">C13*I13*E13*UNIT</f>
        <v>18658.5365853659</v>
      </c>
      <c r="M13" s="0" t="n">
        <f aca="false">C13*J13*E13*UNIT</f>
        <v>18658.5365853659</v>
      </c>
      <c r="N13" s="0" t="n">
        <f aca="false">L13-K13</f>
        <v>0</v>
      </c>
      <c r="O13" s="0" t="n">
        <f aca="false">M13-K13</f>
        <v>0</v>
      </c>
      <c r="P13" s="0" t="n">
        <f aca="false">IF(H13=0,0,1-(1-F13)^(H13/10))</f>
        <v>0.390243902439024</v>
      </c>
      <c r="Q13" s="0" t="n">
        <f aca="false">IF(I13=0,0,1-(1-F13)^(I13/10))</f>
        <v>0.390243902439024</v>
      </c>
      <c r="R13" s="0" t="n">
        <f aca="false">IF(J13=0,0,1-(1-F13)^(J13/10))</f>
        <v>0.390243902439024</v>
      </c>
      <c r="S13" s="0" t="n">
        <f aca="false">(Q13-P13)*D13*G13*CONV_L</f>
        <v>0</v>
      </c>
      <c r="T13" s="0" t="n">
        <f aca="false">(Q13-P13)*D13*G13*CONV_M</f>
        <v>0</v>
      </c>
      <c r="U13" s="0" t="n">
        <f aca="false">(Q13-P13)*D13*G13*CONV_H</f>
        <v>0</v>
      </c>
      <c r="V13" s="0" t="n">
        <f aca="false">(R13-P13)*D13*G13*CONV_L</f>
        <v>0</v>
      </c>
      <c r="W13" s="0" t="n">
        <f aca="false">(R13-P13)*D13*G13*CONV_M</f>
        <v>0</v>
      </c>
      <c r="X13" s="0" t="n">
        <f aca="false">(R13-P13)*D13*G13*CONV_H</f>
        <v>0</v>
      </c>
    </row>
    <row r="14" customFormat="false" ht="15" hidden="false" customHeight="false" outlineLevel="0" collapsed="false">
      <c r="A14" s="0" t="s">
        <v>78</v>
      </c>
      <c r="B14" s="3" t="s">
        <v>71</v>
      </c>
      <c r="C14" s="0" t="n">
        <v>162</v>
      </c>
      <c r="D14" s="0" t="n">
        <v>964</v>
      </c>
      <c r="E14" s="0" t="n">
        <v>0.119161676646707</v>
      </c>
      <c r="F14" s="0" t="n">
        <v>0.522954091816367</v>
      </c>
      <c r="G14" s="0" t="n">
        <v>1.01793721973094</v>
      </c>
      <c r="H14" s="0" t="n">
        <v>0</v>
      </c>
      <c r="I14" s="0" t="n">
        <v>0</v>
      </c>
      <c r="J14" s="0" t="n">
        <v>12</v>
      </c>
      <c r="K14" s="0" t="n">
        <f aca="false">C14*H14*E14*UNIT</f>
        <v>0</v>
      </c>
      <c r="L14" s="0" t="n">
        <f aca="false">C14*I14*E14*UNIT</f>
        <v>0</v>
      </c>
      <c r="M14" s="0" t="n">
        <f aca="false">C14*J14*E14*UNIT</f>
        <v>92660.1197604791</v>
      </c>
      <c r="N14" s="0" t="n">
        <f aca="false">L14-K14</f>
        <v>0</v>
      </c>
      <c r="O14" s="0" t="n">
        <f aca="false">M14-K14</f>
        <v>92660.1197604791</v>
      </c>
      <c r="P14" s="0" t="n">
        <f aca="false">IF(H14=0,0,1-(1-F14)^(H14/10))</f>
        <v>0</v>
      </c>
      <c r="Q14" s="0" t="n">
        <f aca="false">IF(I14=0,0,1-(1-F14)^(I14/10))</f>
        <v>0</v>
      </c>
      <c r="R14" s="0" t="n">
        <f aca="false">IF(J14=0,0,1-(1-F14)^(J14/10))</f>
        <v>0.588592494852157</v>
      </c>
      <c r="S14" s="0" t="n">
        <f aca="false">(Q14-P14)*D14*G14*CONV_L</f>
        <v>0</v>
      </c>
      <c r="T14" s="0" t="n">
        <f aca="false">(Q14-P14)*D14*G14*CONV_M</f>
        <v>0</v>
      </c>
      <c r="U14" s="0" t="n">
        <f aca="false">(Q14-P14)*D14*G14*CONV_H</f>
        <v>0</v>
      </c>
      <c r="V14" s="0" t="n">
        <f aca="false">(R14-P14)*D14*G14*CONV_L</f>
        <v>5.77580800284789</v>
      </c>
      <c r="W14" s="0" t="n">
        <f aca="false">(R14-P14)*D14*G14*CONV_M</f>
        <v>17.3274240085437</v>
      </c>
      <c r="X14" s="0" t="n">
        <f aca="false">(R14-P14)*D14*G14*CONV_H</f>
        <v>34.6548480170873</v>
      </c>
    </row>
    <row r="15" customFormat="false" ht="15" hidden="false" customHeight="false" outlineLevel="0" collapsed="false">
      <c r="A15" s="0" t="s">
        <v>78</v>
      </c>
      <c r="B15" s="3" t="s">
        <v>72</v>
      </c>
      <c r="C15" s="0" t="n">
        <v>98</v>
      </c>
      <c r="D15" s="0" t="n">
        <v>582</v>
      </c>
      <c r="E15" s="0" t="n">
        <v>0.119161676646707</v>
      </c>
      <c r="F15" s="0" t="n">
        <v>0.522954091816367</v>
      </c>
      <c r="G15" s="0" t="n">
        <v>1.01793721973094</v>
      </c>
      <c r="H15" s="0" t="n">
        <v>0</v>
      </c>
      <c r="I15" s="0" t="n">
        <v>0</v>
      </c>
      <c r="J15" s="0" t="n">
        <v>12</v>
      </c>
      <c r="K15" s="0" t="n">
        <f aca="false">C15*H15*E15*UNIT</f>
        <v>0</v>
      </c>
      <c r="L15" s="0" t="n">
        <f aca="false">C15*I15*E15*UNIT</f>
        <v>0</v>
      </c>
      <c r="M15" s="0" t="n">
        <f aca="false">C15*J15*E15*UNIT</f>
        <v>56053.6526946108</v>
      </c>
      <c r="N15" s="0" t="n">
        <f aca="false">L15-K15</f>
        <v>0</v>
      </c>
      <c r="O15" s="0" t="n">
        <f aca="false">M15-K15</f>
        <v>56053.6526946108</v>
      </c>
      <c r="P15" s="0" t="n">
        <f aca="false">IF(H15=0,0,1-(1-F15)^(H15/10))</f>
        <v>0</v>
      </c>
      <c r="Q15" s="0" t="n">
        <f aca="false">IF(I15=0,0,1-(1-F15)^(I15/10))</f>
        <v>0</v>
      </c>
      <c r="R15" s="0" t="n">
        <f aca="false">IF(J15=0,0,1-(1-F15)^(J15/10))</f>
        <v>0.588592494852157</v>
      </c>
      <c r="S15" s="0" t="n">
        <f aca="false">(Q15-P15)*D15*G15*CONV_L</f>
        <v>0</v>
      </c>
      <c r="T15" s="0" t="n">
        <f aca="false">(Q15-P15)*D15*G15*CONV_M</f>
        <v>0</v>
      </c>
      <c r="U15" s="0" t="n">
        <f aca="false">(Q15-P15)*D15*G15*CONV_H</f>
        <v>0</v>
      </c>
      <c r="V15" s="0" t="n">
        <f aca="false">(R15-P15)*D15*G15*CONV_L</f>
        <v>3.48705420918825</v>
      </c>
      <c r="W15" s="0" t="n">
        <f aca="false">(R15-P15)*D15*G15*CONV_M</f>
        <v>10.4611626275647</v>
      </c>
      <c r="X15" s="0" t="n">
        <f aca="false">(R15-P15)*D15*G15*CONV_H</f>
        <v>20.9223252551295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6"/>
  </cols>
  <sheetData>
    <row r="1" customFormat="false" ht="15" hidden="false" customHeight="false" outlineLevel="0" collapsed="false">
      <c r="A1" s="1" t="s">
        <v>79</v>
      </c>
    </row>
    <row r="3" customFormat="false" ht="15" hidden="false" customHeight="false" outlineLevel="0" collapsed="false">
      <c r="A3" s="2" t="s">
        <v>47</v>
      </c>
      <c r="B3" s="6" t="s">
        <v>80</v>
      </c>
      <c r="C3" s="6" t="s">
        <v>81</v>
      </c>
      <c r="D3" s="6" t="s">
        <v>64</v>
      </c>
      <c r="E3" s="6" t="s">
        <v>65</v>
      </c>
      <c r="F3" s="6" t="s">
        <v>66</v>
      </c>
      <c r="G3" s="6" t="s">
        <v>67</v>
      </c>
      <c r="H3" s="6" t="s">
        <v>68</v>
      </c>
      <c r="I3" s="6" t="s">
        <v>69</v>
      </c>
    </row>
    <row r="4" customFormat="false" ht="15" hidden="false" customHeight="false" outlineLevel="0" collapsed="false">
      <c r="A4" s="3" t="s">
        <v>71</v>
      </c>
      <c r="B4" s="0" t="n">
        <f aca="false">SUMIF('②群×科(5,000名)'!$B$4:$B$15,$A4,'②群×科(5,000名)'!N$4:N$15)</f>
        <v>-10410.3911050825</v>
      </c>
      <c r="C4" s="0" t="n">
        <f aca="false">SUMIF('②群×科(5,000名)'!$B$4:$B$15,$A4,'②群×科(5,000名)'!O$4:O$15)</f>
        <v>82249.7286553965</v>
      </c>
      <c r="D4" s="0" t="n">
        <f aca="false">SUMIF('②群×科(5,000名)'!$B$4:$B$15,$A4,'②群×科(5,000名)'!S$4:S$15)</f>
        <v>2.59202328104074</v>
      </c>
      <c r="E4" s="0" t="n">
        <f aca="false">SUMIF('②群×科(5,000名)'!$B$4:$B$15,$A4,'②群×科(5,000名)'!T$4:T$15)</f>
        <v>7.77606984312221</v>
      </c>
      <c r="F4" s="0" t="n">
        <f aca="false">SUMIF('②群×科(5,000名)'!$B$4:$B$15,$A4,'②群×科(5,000名)'!U$4:U$15)</f>
        <v>15.5521396862444</v>
      </c>
      <c r="G4" s="0" t="n">
        <f aca="false">SUMIF('②群×科(5,000名)'!$B$4:$B$15,$A4,'②群×科(5,000名)'!V$4:V$15)</f>
        <v>8.36783128388863</v>
      </c>
      <c r="H4" s="0" t="n">
        <f aca="false">SUMIF('②群×科(5,000名)'!$B$4:$B$15,$A4,'②群×科(5,000名)'!W$4:W$15)</f>
        <v>25.1034938516659</v>
      </c>
      <c r="I4" s="0" t="n">
        <f aca="false">SUMIF('②群×科(5,000名)'!$B$4:$B$15,$A4,'②群×科(5,000名)'!X$4:X$15)</f>
        <v>50.2069877033318</v>
      </c>
    </row>
    <row r="5" customFormat="false" ht="15" hidden="false" customHeight="false" outlineLevel="0" collapsed="false">
      <c r="A5" s="3" t="s">
        <v>72</v>
      </c>
      <c r="B5" s="0" t="n">
        <f aca="false">SUMIF('②群×科(5,000名)'!$B$4:$B$15,$A5,'②群×科(5,000名)'!N$4:N$15)</f>
        <v>52721.1213186181</v>
      </c>
      <c r="C5" s="0" t="n">
        <f aca="false">SUMIF('②群×科(5,000名)'!$B$4:$B$15,$A5,'②群×科(5,000名)'!O$4:O$15)</f>
        <v>108774.774013229</v>
      </c>
      <c r="D5" s="0" t="n">
        <f aca="false">SUMIF('②群×科(5,000名)'!$B$4:$B$15,$A5,'②群×科(5,000名)'!S$4:S$15)</f>
        <v>5.79213219913382</v>
      </c>
      <c r="E5" s="0" t="n">
        <f aca="false">SUMIF('②群×科(5,000名)'!$B$4:$B$15,$A5,'②群×科(5,000名)'!T$4:T$15)</f>
        <v>17.3763965974015</v>
      </c>
      <c r="F5" s="0" t="n">
        <f aca="false">SUMIF('②群×科(5,000名)'!$B$4:$B$15,$A5,'②群×科(5,000名)'!U$4:U$15)</f>
        <v>34.7527931948029</v>
      </c>
      <c r="G5" s="0" t="n">
        <f aca="false">SUMIF('②群×科(5,000名)'!$B$4:$B$15,$A5,'②群×科(5,000名)'!V$4:V$15)</f>
        <v>9.27918640832207</v>
      </c>
      <c r="H5" s="0" t="n">
        <f aca="false">SUMIF('②群×科(5,000名)'!$B$4:$B$15,$A5,'②群×科(5,000名)'!W$4:W$15)</f>
        <v>27.8375592249662</v>
      </c>
      <c r="I5" s="0" t="n">
        <f aca="false">SUMIF('②群×科(5,000名)'!$B$4:$B$15,$A5,'②群×科(5,000名)'!X$4:X$15)</f>
        <v>55.6751184499324</v>
      </c>
    </row>
    <row r="6" customFormat="false" ht="15" hidden="false" customHeight="false" outlineLevel="0" collapsed="false">
      <c r="A6" s="3" t="s">
        <v>75</v>
      </c>
      <c r="B6" s="0" t="n">
        <f aca="false">SUMIF('②群×科(5,000名)'!$B$4:$B$15,$A6,'②群×科(5,000名)'!N$4:N$15)</f>
        <v>-73208.4592145015</v>
      </c>
      <c r="C6" s="0" t="n">
        <f aca="false">SUMIF('②群×科(5,000名)'!$B$4:$B$15,$A6,'②群×科(5,000名)'!O$4:O$15)</f>
        <v>-73208.4592145015</v>
      </c>
      <c r="D6" s="0" t="n">
        <f aca="false">SUMIF('②群×科(5,000名)'!$B$4:$B$15,$A6,'②群×科(5,000名)'!S$4:S$15)</f>
        <v>-2.04916478747162</v>
      </c>
      <c r="E6" s="0" t="n">
        <f aca="false">SUMIF('②群×科(5,000名)'!$B$4:$B$15,$A6,'②群×科(5,000名)'!T$4:T$15)</f>
        <v>-6.14749436241486</v>
      </c>
      <c r="F6" s="0" t="n">
        <f aca="false">SUMIF('②群×科(5,000名)'!$B$4:$B$15,$A6,'②群×科(5,000名)'!U$4:U$15)</f>
        <v>-12.2949887248297</v>
      </c>
      <c r="G6" s="0" t="n">
        <f aca="false">SUMIF('②群×科(5,000名)'!$B$4:$B$15,$A6,'②群×科(5,000名)'!V$4:V$15)</f>
        <v>-2.04916478747162</v>
      </c>
      <c r="H6" s="0" t="n">
        <f aca="false">SUMIF('②群×科(5,000名)'!$B$4:$B$15,$A6,'②群×科(5,000名)'!W$4:W$15)</f>
        <v>-6.14749436241486</v>
      </c>
      <c r="I6" s="0" t="n">
        <f aca="false">SUMIF('②群×科(5,000名)'!$B$4:$B$15,$A6,'②群×科(5,000名)'!X$4:X$15)</f>
        <v>-12.2949887248297</v>
      </c>
    </row>
    <row r="7" customFormat="false" ht="15" hidden="false" customHeight="false" outlineLevel="0" collapsed="false">
      <c r="A7" s="3" t="s">
        <v>76</v>
      </c>
      <c r="B7" s="0" t="n">
        <f aca="false">SUMIF('②群×科(5,000名)'!$B$4:$B$15,$A7,'②群×科(5,000名)'!N$4:N$15)</f>
        <v>-36228.801611279</v>
      </c>
      <c r="C7" s="0" t="n">
        <f aca="false">SUMIF('②群×科(5,000名)'!$B$4:$B$15,$A7,'②群×科(5,000名)'!O$4:O$15)</f>
        <v>-36228.801611279</v>
      </c>
      <c r="D7" s="0" t="n">
        <f aca="false">SUMIF('②群×科(5,000名)'!$B$4:$B$15,$A7,'②群×科(5,000名)'!S$4:S$15)</f>
        <v>-0.903734213961843</v>
      </c>
      <c r="E7" s="0" t="n">
        <f aca="false">SUMIF('②群×科(5,000名)'!$B$4:$B$15,$A7,'②群×科(5,000名)'!T$4:T$15)</f>
        <v>-2.71120264188553</v>
      </c>
      <c r="F7" s="0" t="n">
        <f aca="false">SUMIF('②群×科(5,000名)'!$B$4:$B$15,$A7,'②群×科(5,000名)'!U$4:U$15)</f>
        <v>-5.42240528377106</v>
      </c>
      <c r="G7" s="0" t="n">
        <f aca="false">SUMIF('②群×科(5,000名)'!$B$4:$B$15,$A7,'②群×科(5,000名)'!V$4:V$15)</f>
        <v>-0.903734213961843</v>
      </c>
      <c r="H7" s="0" t="n">
        <f aca="false">SUMIF('②群×科(5,000名)'!$B$4:$B$15,$A7,'②群×科(5,000名)'!W$4:W$15)</f>
        <v>-2.71120264188553</v>
      </c>
      <c r="I7" s="0" t="n">
        <f aca="false">SUMIF('②群×科(5,000名)'!$B$4:$B$15,$A7,'②群×科(5,000名)'!X$4:X$15)</f>
        <v>-5.42240528377106</v>
      </c>
    </row>
    <row r="8" customFormat="false" ht="15" hidden="false" customHeight="false" outlineLevel="0" collapsed="false">
      <c r="A8" s="1" t="s">
        <v>82</v>
      </c>
      <c r="B8" s="5" t="n">
        <f aca="false">SUM(B4:B7)</f>
        <v>-67126.5306122449</v>
      </c>
      <c r="C8" s="5" t="n">
        <f aca="false">SUM(C4:C7)</f>
        <v>81587.241842845</v>
      </c>
      <c r="D8" s="5" t="n">
        <f aca="false">SUM(D4:D7)</f>
        <v>5.43125647874109</v>
      </c>
      <c r="E8" s="5" t="n">
        <f aca="false">SUM(E4:E7)</f>
        <v>16.2937694362233</v>
      </c>
      <c r="F8" s="5" t="n">
        <f aca="false">SUM(F4:F7)</f>
        <v>32.5875388724466</v>
      </c>
      <c r="G8" s="5" t="n">
        <f aca="false">SUM(G4:G7)</f>
        <v>14.6941186907772</v>
      </c>
      <c r="H8" s="5" t="n">
        <f aca="false">SUM(H4:H7)</f>
        <v>44.0823560723317</v>
      </c>
      <c r="I8" s="5" t="n">
        <f aca="false">SUM(I4:I7)</f>
        <v>88.1647121446634</v>
      </c>
    </row>
    <row r="10" customFormat="false" ht="15" hidden="false" customHeight="false" outlineLevel="0" collapsed="false">
      <c r="A10" s="1" t="s">
        <v>83</v>
      </c>
    </row>
    <row r="11" customFormat="false" ht="15" hidden="false" customHeight="false" outlineLevel="0" collapsed="false">
      <c r="A11" s="3" t="s">
        <v>84</v>
      </c>
      <c r="B11" s="0" t="n">
        <f aca="false">READ_ALL*UNIT</f>
        <v>1601600</v>
      </c>
      <c r="C11" s="0" t="n">
        <f aca="false">B11/10000</f>
        <v>160.16</v>
      </c>
      <c r="D11" s="3" t="s">
        <v>85</v>
      </c>
    </row>
    <row r="12" customFormat="false" ht="15" hidden="false" customHeight="false" outlineLevel="0" collapsed="false">
      <c r="A12" s="0" t="s">
        <v>86</v>
      </c>
      <c r="B12" s="0" t="n">
        <f aca="false">B11+B8</f>
        <v>1534473.46938776</v>
      </c>
      <c r="C12" s="0" t="n">
        <f aca="false">B12/10000</f>
        <v>153.447346938776</v>
      </c>
      <c r="D12" s="3" t="s">
        <v>85</v>
      </c>
    </row>
    <row r="13" customFormat="false" ht="15" hidden="false" customHeight="false" outlineLevel="0" collapsed="false">
      <c r="A13" s="0" t="s">
        <v>87</v>
      </c>
      <c r="B13" s="0" t="n">
        <f aca="false">B11+C8</f>
        <v>1683187.24184285</v>
      </c>
      <c r="C13" s="0" t="n">
        <f aca="false">B13/10000</f>
        <v>168.318724184285</v>
      </c>
      <c r="D13" s="3" t="s">
        <v>85</v>
      </c>
    </row>
    <row r="14" customFormat="false" ht="15" hidden="false" customHeight="false" outlineLevel="0" collapsed="false">
      <c r="A14" s="0" t="s">
        <v>88</v>
      </c>
      <c r="B14" s="0" t="n">
        <f aca="false">B12-B11</f>
        <v>-67126.530612245</v>
      </c>
      <c r="C14" s="0" t="n">
        <f aca="false">B14/10000</f>
        <v>-6.7126530612245</v>
      </c>
      <c r="D14" s="3" t="s">
        <v>85</v>
      </c>
    </row>
    <row r="15" customFormat="false" ht="15" hidden="false" customHeight="false" outlineLevel="0" collapsed="false">
      <c r="A15" s="0" t="s">
        <v>89</v>
      </c>
      <c r="B15" s="0" t="n">
        <f aca="false">B13-B11</f>
        <v>81587.241842845</v>
      </c>
      <c r="C15" s="0" t="n">
        <f aca="false">B15/10000</f>
        <v>8.1587241842845</v>
      </c>
      <c r="D15" s="3" t="s">
        <v>85</v>
      </c>
    </row>
    <row r="16" customFormat="false" ht="15" hidden="false" customHeight="false" outlineLevel="0" collapsed="false">
      <c r="A16" s="0" t="s">
        <v>90</v>
      </c>
      <c r="B16" s="0" t="n">
        <f aca="false">B13-B12</f>
        <v>148713.77245509</v>
      </c>
      <c r="C16" s="0" t="n">
        <f aca="false">B16/10000</f>
        <v>14.871377245509</v>
      </c>
      <c r="D16" s="3" t="s">
        <v>85</v>
      </c>
    </row>
    <row r="17" customFormat="false" ht="15" hidden="false" customHeight="false" outlineLevel="0" collapsed="false">
      <c r="A17" s="0" t="s">
        <v>91</v>
      </c>
      <c r="B17" s="0" t="n">
        <f aca="false">B4+B5</f>
        <v>42310.7302135356</v>
      </c>
      <c r="C17" s="0" t="n">
        <f aca="false">B17/10000</f>
        <v>4.23107302135356</v>
      </c>
      <c r="D17" s="3" t="s">
        <v>85</v>
      </c>
    </row>
    <row r="18" customFormat="false" ht="15" hidden="false" customHeight="false" outlineLevel="0" collapsed="false">
      <c r="A18" s="0" t="s">
        <v>92</v>
      </c>
      <c r="B18" s="0" t="n">
        <f aca="false">B6+B7</f>
        <v>-109437.26082578</v>
      </c>
      <c r="C18" s="0" t="n">
        <f aca="false">B18/10000</f>
        <v>-10.943726082578</v>
      </c>
      <c r="D18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93</v>
      </c>
    </row>
    <row r="3" customFormat="false" ht="15" hidden="false" customHeight="false" outlineLevel="0" collapsed="false">
      <c r="A3" s="2" t="s">
        <v>1</v>
      </c>
      <c r="B3" s="2" t="s">
        <v>71</v>
      </c>
      <c r="C3" s="2" t="s">
        <v>72</v>
      </c>
      <c r="D3" s="2" t="s">
        <v>94</v>
      </c>
      <c r="E3" s="2" t="s">
        <v>95</v>
      </c>
    </row>
    <row r="4" customFormat="false" ht="15" hidden="false" customHeight="false" outlineLevel="0" collapsed="false">
      <c r="A4" s="3" t="s">
        <v>96</v>
      </c>
      <c r="B4" s="0" t="n">
        <f aca="false">NAT_IM/S_IM</f>
        <v>30.0004826254826</v>
      </c>
      <c r="C4" s="0" t="n">
        <f aca="false">NAT_ENT/S_ENT</f>
        <v>7.68533772652389</v>
      </c>
      <c r="E4" s="3" t="s">
        <v>97</v>
      </c>
    </row>
    <row r="5" customFormat="false" ht="15" hidden="false" customHeight="false" outlineLevel="0" collapsed="false">
      <c r="A5" s="3" t="s">
        <v>98</v>
      </c>
      <c r="B5" s="0" t="n">
        <f aca="false">READ_IM*B4*UNIT</f>
        <v>19812318.7258687</v>
      </c>
      <c r="C5" s="0" t="n">
        <f aca="false">READ_ENT*C4*UNIT</f>
        <v>3172507.41350906</v>
      </c>
      <c r="D5" s="0" t="n">
        <f aca="false">B5+C5</f>
        <v>22984826.1393778</v>
      </c>
      <c r="E5" s="3" t="s">
        <v>99</v>
      </c>
    </row>
    <row r="6" customFormat="false" ht="15" hidden="false" customHeight="false" outlineLevel="0" collapsed="false">
      <c r="A6" s="0" t="s">
        <v>100</v>
      </c>
      <c r="B6" s="0" t="n">
        <f aca="false">'③科別(5,000名)'!B4*B4*FEAS</f>
        <v>-281085.081725256</v>
      </c>
      <c r="C6" s="0" t="n">
        <f aca="false">'③科別(5,000名)'!B5*C4*FEAS</f>
        <v>364661.660389157</v>
      </c>
      <c r="D6" s="0" t="n">
        <f aca="false">B6+C6</f>
        <v>83576.5786639004</v>
      </c>
      <c r="E6" s="3" t="s">
        <v>101</v>
      </c>
    </row>
    <row r="7" customFormat="false" ht="15" hidden="false" customHeight="false" outlineLevel="0" collapsed="false">
      <c r="A7" s="0" t="s">
        <v>102</v>
      </c>
      <c r="B7" s="0" t="n">
        <f aca="false">'③科別(5,000名)'!C4*B4*FEAS</f>
        <v>2220778.3999292</v>
      </c>
      <c r="C7" s="0" t="n">
        <f aca="false">'③科別(5,000名)'!C5*C4*FEAS</f>
        <v>752373.78697618</v>
      </c>
      <c r="D7" s="0" t="n">
        <f aca="false">B7+C7</f>
        <v>2973152.18690538</v>
      </c>
      <c r="E7" s="3" t="s">
        <v>101</v>
      </c>
    </row>
    <row r="8" customFormat="false" ht="15" hidden="false" customHeight="false" outlineLevel="0" collapsed="false">
      <c r="A8" s="0" t="s">
        <v>103</v>
      </c>
      <c r="B8" s="0" t="n">
        <f aca="false">B5+B6</f>
        <v>19531233.6441435</v>
      </c>
      <c r="C8" s="0" t="n">
        <f aca="false">C5+C6</f>
        <v>3537169.07389822</v>
      </c>
      <c r="D8" s="0" t="n">
        <f aca="false">B8+C8</f>
        <v>23068402.7180417</v>
      </c>
      <c r="E8" s="3" t="s">
        <v>101</v>
      </c>
    </row>
    <row r="9" customFormat="false" ht="15" hidden="false" customHeight="false" outlineLevel="0" collapsed="false">
      <c r="A9" s="0" t="s">
        <v>104</v>
      </c>
      <c r="B9" s="0" t="n">
        <f aca="false">B5+B7</f>
        <v>22033097.1257979</v>
      </c>
      <c r="C9" s="0" t="n">
        <f aca="false">C5+C7</f>
        <v>3924881.20048524</v>
      </c>
      <c r="D9" s="0" t="n">
        <f aca="false">B9+C9</f>
        <v>25957978.3262832</v>
      </c>
      <c r="E9" s="3" t="s">
        <v>101</v>
      </c>
    </row>
    <row r="10" customFormat="false" ht="15" hidden="false" customHeight="false" outlineLevel="0" collapsed="false">
      <c r="A10" s="3" t="s">
        <v>105</v>
      </c>
      <c r="B10" s="0" t="n">
        <f aca="false">HP_IM*B4</f>
        <v>8760.14092664093</v>
      </c>
      <c r="C10" s="0" t="n">
        <f aca="false">HP_ENT*C4</f>
        <v>3143.30313014827</v>
      </c>
      <c r="D10" s="0" t="n">
        <f aca="false">B10+C10</f>
        <v>11903.4440567892</v>
      </c>
      <c r="E10" s="3" t="s">
        <v>106</v>
      </c>
    </row>
    <row r="11" customFormat="false" ht="15" hidden="false" customHeight="false" outlineLevel="0" collapsed="false">
      <c r="A11" s="3" t="s">
        <v>107</v>
      </c>
      <c r="B11" s="0" t="n">
        <f aca="false">SUMIFS('②群×科(5,000名)'!$C$4:$C$15,'②群×科(5,000名)'!$A$4:$A$15,"①",'②群×科(5,000名)'!$B$4:$B$15,"内科")*B4</f>
        <v>2670.04295366795</v>
      </c>
      <c r="C11" s="0" t="n">
        <f aca="false">SUMIFS('②群×科(5,000名)'!$C$4:$C$15,'②群×科(5,000名)'!$A$4:$A$15,"①",'②群×科(5,000名)'!$B$4:$B$15,"耳鼻咽喉科")*C4</f>
        <v>783.904448105437</v>
      </c>
      <c r="D11" s="0" t="n">
        <f aca="false">B11+C11</f>
        <v>3453.94740177339</v>
      </c>
      <c r="E11" s="3" t="s">
        <v>108</v>
      </c>
    </row>
    <row r="12" customFormat="false" ht="15" hidden="false" customHeight="false" outlineLevel="0" collapsed="false">
      <c r="A12" s="3" t="s">
        <v>109</v>
      </c>
      <c r="B12" s="0" t="n">
        <f aca="false">SUMIFS('②群×科(5,000名)'!$C$4:$C$15,'②群×科(5,000名)'!$A$4:$A$15,"②",'②群×科(5,000名)'!$B$4:$B$15,"内科")*B4</f>
        <v>4860.07818532819</v>
      </c>
      <c r="C12" s="0" t="n">
        <f aca="false">SUMIFS('②群×科(5,000名)'!$C$4:$C$15,'②群×科(5,000名)'!$A$4:$A$15,"②",'②群×科(5,000名)'!$B$4:$B$15,"耳鼻咽喉科")*C4</f>
        <v>1767.62767710049</v>
      </c>
      <c r="D12" s="0" t="n">
        <f aca="false">B12+C12</f>
        <v>6627.70586242868</v>
      </c>
      <c r="E12" s="3" t="s">
        <v>108</v>
      </c>
    </row>
    <row r="13" customFormat="false" ht="15" hidden="false" customHeight="false" outlineLevel="0" collapsed="false">
      <c r="A13" s="3" t="s">
        <v>110</v>
      </c>
      <c r="B13" s="0" t="n">
        <f aca="false">SUMIFS('②群×科(5,000名)'!$C$4:$C$15,'②群×科(5,000名)'!$A$4:$A$15,"③",'②群×科(5,000名)'!$B$4:$B$15,"内科")*B4</f>
        <v>10290.1655405405</v>
      </c>
      <c r="C13" s="0" t="n">
        <f aca="false">SUMIFS('②群×科(5,000名)'!$C$4:$C$15,'②群×科(5,000名)'!$A$4:$A$15,"③",'②群×科(5,000名)'!$B$4:$B$15,"耳鼻咽喉科")*C4</f>
        <v>514.9176276771</v>
      </c>
      <c r="D13" s="0" t="n">
        <f aca="false">B13+C13</f>
        <v>10805.0831682176</v>
      </c>
      <c r="E13" s="3" t="s">
        <v>108</v>
      </c>
    </row>
    <row r="14" customFormat="false" ht="15" hidden="false" customHeight="false" outlineLevel="0" collapsed="false">
      <c r="A14" s="3" t="s">
        <v>111</v>
      </c>
      <c r="B14" s="0" t="n">
        <f aca="false">SUMIFS('②群×科(5,000名)'!$C$4:$C$15,'②群×科(5,000名)'!$A$4:$A$15,"⑤",'②群×科(5,000名)'!$B$4:$B$15,"内科")*B4</f>
        <v>4860.07818532819</v>
      </c>
      <c r="C14" s="0" t="n">
        <f aca="false">SUMIFS('②群×科(5,000名)'!$C$4:$C$15,'②群×科(5,000名)'!$A$4:$A$15,"⑤",'②群×科(5,000名)'!$B$4:$B$15,"耳鼻咽喉科")*C4</f>
        <v>753.163097199341</v>
      </c>
      <c r="D14" s="0" t="n">
        <f aca="false">B14+C14</f>
        <v>5613.24128252753</v>
      </c>
      <c r="E14" s="3" t="s">
        <v>108</v>
      </c>
    </row>
    <row r="15" customFormat="false" ht="15" hidden="false" customHeight="false" outlineLevel="0" collapsed="false">
      <c r="A15" s="0" t="s">
        <v>112</v>
      </c>
      <c r="B15" s="0" t="n">
        <f aca="false">'③科別(5,000名)'!D4*B4*FEAS</f>
        <v>69.9857544669382</v>
      </c>
      <c r="C15" s="0" t="n">
        <f aca="false">'③科別(5,000名)'!D5*C4*FEAS</f>
        <v>40.0630428963152</v>
      </c>
      <c r="D15" s="0" t="n">
        <f aca="false">B15+C15</f>
        <v>110.048797363253</v>
      </c>
      <c r="E15" s="3" t="s">
        <v>113</v>
      </c>
    </row>
    <row r="16" customFormat="false" ht="15" hidden="false" customHeight="false" outlineLevel="0" collapsed="false">
      <c r="A16" s="0" t="s">
        <v>114</v>
      </c>
      <c r="B16" s="0" t="n">
        <f aca="false">'③科別(5,000名)'!E4*B4*FEAS</f>
        <v>209.957263400815</v>
      </c>
      <c r="C16" s="0" t="n">
        <f aca="false">'③科別(5,000名)'!E5*C4*FEAS</f>
        <v>120.189128688946</v>
      </c>
      <c r="D16" s="0" t="n">
        <f aca="false">B16+C16</f>
        <v>330.14639208976</v>
      </c>
      <c r="E16" s="3" t="s">
        <v>113</v>
      </c>
    </row>
    <row r="17" customFormat="false" ht="15" hidden="false" customHeight="false" outlineLevel="0" collapsed="false">
      <c r="A17" s="0" t="s">
        <v>115</v>
      </c>
      <c r="B17" s="0" t="n">
        <f aca="false">'③科別(5,000名)'!F4*B4*FEAS</f>
        <v>419.914526801629</v>
      </c>
      <c r="C17" s="0" t="n">
        <f aca="false">'③科別(5,000名)'!F5*C4*FEAS</f>
        <v>240.378257377891</v>
      </c>
      <c r="D17" s="0" t="n">
        <f aca="false">B17+C17</f>
        <v>660.29278417952</v>
      </c>
      <c r="E17" s="3" t="s">
        <v>113</v>
      </c>
    </row>
    <row r="18" customFormat="false" ht="15" hidden="false" customHeight="false" outlineLevel="0" collapsed="false">
      <c r="A18" s="0" t="s">
        <v>116</v>
      </c>
      <c r="B18" s="0" t="n">
        <f aca="false">'③科別(5,000名)'!G4*B4*FEAS</f>
        <v>225.935079340744</v>
      </c>
      <c r="C18" s="0" t="n">
        <f aca="false">'③科別(5,000名)'!G5*C4*FEAS</f>
        <v>64.1823132377928</v>
      </c>
      <c r="D18" s="0" t="n">
        <f aca="false">B18+C18</f>
        <v>290.117392578536</v>
      </c>
      <c r="E18" s="3" t="s">
        <v>113</v>
      </c>
    </row>
    <row r="19" customFormat="false" ht="15" hidden="false" customHeight="false" outlineLevel="0" collapsed="false">
      <c r="A19" s="0" t="s">
        <v>117</v>
      </c>
      <c r="B19" s="0" t="n">
        <f aca="false">'③科別(5,000名)'!H4*B4*FEAS</f>
        <v>677.805238022231</v>
      </c>
      <c r="C19" s="0" t="n">
        <f aca="false">'③科別(5,000名)'!H5*C4*FEAS</f>
        <v>192.546939713378</v>
      </c>
      <c r="D19" s="0" t="n">
        <f aca="false">B19+C19</f>
        <v>870.352177735609</v>
      </c>
      <c r="E19" s="3" t="s">
        <v>113</v>
      </c>
    </row>
    <row r="20" customFormat="false" ht="15" hidden="false" customHeight="false" outlineLevel="0" collapsed="false">
      <c r="A20" s="0" t="s">
        <v>118</v>
      </c>
      <c r="B20" s="0" t="n">
        <f aca="false">'③科別(5,000名)'!I4*B4*FEAS</f>
        <v>1355.61047604446</v>
      </c>
      <c r="C20" s="0" t="n">
        <f aca="false">'③科別(5,000名)'!I5*C4*FEAS</f>
        <v>385.093879426756</v>
      </c>
      <c r="D20" s="0" t="n">
        <f aca="false">B20+C20</f>
        <v>1740.70435547122</v>
      </c>
      <c r="E20" s="3" t="s">
        <v>113</v>
      </c>
    </row>
    <row r="21" customFormat="false" ht="15" hidden="false" customHeight="false" outlineLevel="0" collapsed="false">
      <c r="A21" s="3" t="s">
        <v>119</v>
      </c>
      <c r="D21" s="0" t="n">
        <f aca="false">RX_IM+RX_ENT+RX_PED+RX_OPH</f>
        <v>11280</v>
      </c>
      <c r="E21" s="3" t="s">
        <v>120</v>
      </c>
    </row>
    <row r="22" customFormat="false" ht="15" hidden="false" customHeight="false" outlineLevel="0" collapsed="false">
      <c r="A22" s="3" t="s">
        <v>121</v>
      </c>
      <c r="D22" s="0" t="n">
        <f aca="false">(RX_IM+RX_ENT)/D21</f>
        <v>0.874290780141844</v>
      </c>
      <c r="E22" s="3" t="s">
        <v>122</v>
      </c>
    </row>
    <row r="23" customFormat="false" ht="15" hidden="false" customHeight="false" outlineLevel="0" collapsed="false">
      <c r="A23" s="3" t="s">
        <v>123</v>
      </c>
      <c r="B23" s="0" t="n">
        <f aca="false">RX_IM*B4</f>
        <v>115261.854247104</v>
      </c>
      <c r="C23" s="0" t="n">
        <f aca="false">RX_ENT*C4</f>
        <v>46265.7331136738</v>
      </c>
      <c r="D23" s="0" t="n">
        <f aca="false">B23+C23</f>
        <v>161527.587360778</v>
      </c>
      <c r="E23" s="3" t="s">
        <v>108</v>
      </c>
    </row>
    <row r="24" customFormat="false" ht="15" hidden="false" customHeight="false" outlineLevel="0" collapsed="false">
      <c r="A24" s="3" t="s">
        <v>124</v>
      </c>
      <c r="D24" s="0" t="n">
        <f aca="false">SALES*D22/D23</f>
        <v>27063.2030858321</v>
      </c>
      <c r="E24" s="3" t="s">
        <v>125</v>
      </c>
    </row>
    <row r="25" customFormat="false" ht="15" hidden="false" customHeight="false" outlineLevel="0" collapsed="false">
      <c r="A25" s="0" t="s">
        <v>126</v>
      </c>
      <c r="D25" s="0" t="n">
        <f aca="false">D15*D24</f>
        <v>2978272.95239331</v>
      </c>
      <c r="E25" s="3" t="s">
        <v>127</v>
      </c>
    </row>
    <row r="26" customFormat="false" ht="15" hidden="false" customHeight="false" outlineLevel="0" collapsed="false">
      <c r="A26" s="0" t="s">
        <v>128</v>
      </c>
      <c r="D26" s="0" t="n">
        <f aca="false">D16*D24</f>
        <v>8934818.85717993</v>
      </c>
      <c r="E26" s="3" t="s">
        <v>127</v>
      </c>
    </row>
    <row r="27" customFormat="false" ht="15" hidden="false" customHeight="false" outlineLevel="0" collapsed="false">
      <c r="A27" s="0" t="s">
        <v>129</v>
      </c>
      <c r="D27" s="0" t="n">
        <f aca="false">D17*D24</f>
        <v>17869637.7143599</v>
      </c>
      <c r="E27" s="3" t="s">
        <v>127</v>
      </c>
    </row>
    <row r="28" customFormat="false" ht="15" hidden="false" customHeight="false" outlineLevel="0" collapsed="false">
      <c r="A28" s="0" t="s">
        <v>130</v>
      </c>
      <c r="D28" s="0" t="n">
        <f aca="false">D18*D24</f>
        <v>7851505.914085</v>
      </c>
      <c r="E28" s="3" t="s">
        <v>127</v>
      </c>
    </row>
    <row r="29" customFormat="false" ht="15" hidden="false" customHeight="false" outlineLevel="0" collapsed="false">
      <c r="A29" s="0" t="s">
        <v>131</v>
      </c>
      <c r="D29" s="0" t="n">
        <f aca="false">D19*D24</f>
        <v>23554517.742255</v>
      </c>
      <c r="E29" s="3" t="s">
        <v>127</v>
      </c>
    </row>
    <row r="30" customFormat="false" ht="15" hidden="false" customHeight="false" outlineLevel="0" collapsed="false">
      <c r="A30" s="0" t="s">
        <v>132</v>
      </c>
      <c r="D30" s="0" t="n">
        <f aca="false">D20*D24</f>
        <v>47109035.48451</v>
      </c>
      <c r="E30" s="3" t="s">
        <v>127</v>
      </c>
    </row>
    <row r="31" customFormat="false" ht="15" hidden="false" customHeight="false" outlineLevel="0" collapsed="false">
      <c r="A31" s="0" t="s">
        <v>133</v>
      </c>
      <c r="D31" s="0" t="n">
        <f aca="false">D26/SALES</f>
        <v>0.00178696377143598</v>
      </c>
    </row>
    <row r="32" customFormat="false" ht="15" hidden="false" customHeight="false" outlineLevel="0" collapsed="false">
      <c r="A32" s="0" t="s">
        <v>134</v>
      </c>
      <c r="D32" s="0" t="n">
        <f aca="false">D29/SALES</f>
        <v>0.004710903548451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7" t="s">
        <v>135</v>
      </c>
    </row>
    <row r="3" customFormat="false" ht="15" hidden="false" customHeight="false" outlineLevel="0" collapsed="false">
      <c r="A3" s="2" t="s">
        <v>1</v>
      </c>
      <c r="B3" s="6" t="s">
        <v>136</v>
      </c>
      <c r="C3" s="6" t="s">
        <v>137</v>
      </c>
      <c r="D3" s="2" t="s">
        <v>138</v>
      </c>
      <c r="E3" s="2" t="s">
        <v>139</v>
      </c>
    </row>
    <row r="4" customFormat="false" ht="15" hidden="false" customHeight="false" outlineLevel="0" collapsed="false">
      <c r="A4" s="0" t="s">
        <v>140</v>
      </c>
      <c r="B4" s="0" t="n">
        <f aca="false">'③科別(5,000名)'!B11</f>
        <v>1601600</v>
      </c>
      <c r="C4" s="0" t="n">
        <v>1601600</v>
      </c>
      <c r="D4" s="0" t="n">
        <f aca="false">B4-C4</f>
        <v>0</v>
      </c>
      <c r="E4" s="0" t="s">
        <v>141</v>
      </c>
    </row>
    <row r="5" customFormat="false" ht="15" hidden="false" customHeight="false" outlineLevel="0" collapsed="false">
      <c r="A5" s="0" t="s">
        <v>142</v>
      </c>
      <c r="B5" s="0" t="n">
        <f aca="false">'③科別(5,000名)'!B12</f>
        <v>1534473.46938776</v>
      </c>
      <c r="C5" s="0" t="n">
        <v>1534473.46938776</v>
      </c>
      <c r="D5" s="0" t="n">
        <f aca="false">B5-C5</f>
        <v>0</v>
      </c>
      <c r="E5" s="0" t="s">
        <v>143</v>
      </c>
    </row>
    <row r="6" customFormat="false" ht="15" hidden="false" customHeight="false" outlineLevel="0" collapsed="false">
      <c r="A6" s="0" t="s">
        <v>144</v>
      </c>
      <c r="B6" s="0" t="n">
        <f aca="false">'③科別(5,000名)'!B13</f>
        <v>1683187.24184285</v>
      </c>
      <c r="C6" s="0" t="n">
        <v>1683187.24184285</v>
      </c>
      <c r="D6" s="0" t="n">
        <f aca="false">B6-C6</f>
        <v>0</v>
      </c>
      <c r="E6" s="0" t="s">
        <v>145</v>
      </c>
    </row>
    <row r="7" customFormat="false" ht="15" hidden="false" customHeight="false" outlineLevel="0" collapsed="false">
      <c r="A7" s="0" t="s">
        <v>146</v>
      </c>
      <c r="B7" s="0" t="n">
        <f aca="false">'③科別(5,000名)'!B14</f>
        <v>-67126.530612245</v>
      </c>
      <c r="C7" s="0" t="n">
        <v>-67126.530612245</v>
      </c>
      <c r="D7" s="0" t="n">
        <f aca="false">B7-C7</f>
        <v>0</v>
      </c>
      <c r="E7" s="0" t="s">
        <v>147</v>
      </c>
    </row>
    <row r="8" customFormat="false" ht="15" hidden="false" customHeight="false" outlineLevel="0" collapsed="false">
      <c r="A8" s="0" t="s">
        <v>148</v>
      </c>
      <c r="B8" s="0" t="n">
        <f aca="false">'③科別(5,000名)'!B16</f>
        <v>148713.77245509</v>
      </c>
      <c r="C8" s="0" t="n">
        <v>148713.77245509</v>
      </c>
      <c r="D8" s="0" t="n">
        <f aca="false">B8-C8</f>
        <v>0</v>
      </c>
      <c r="E8" s="0" t="s">
        <v>149</v>
      </c>
    </row>
    <row r="9" customFormat="false" ht="15" hidden="false" customHeight="false" outlineLevel="0" collapsed="false">
      <c r="A9" s="3" t="s">
        <v>150</v>
      </c>
      <c r="B9" s="0" t="n">
        <f aca="false">'④全国(内科・耳鼻)'!B4</f>
        <v>30.0004826254826</v>
      </c>
      <c r="C9" s="0" t="n">
        <v>30.0004826254826</v>
      </c>
      <c r="D9" s="0" t="n">
        <f aca="false">B9-C9</f>
        <v>0</v>
      </c>
      <c r="E9" s="0" t="s">
        <v>151</v>
      </c>
    </row>
    <row r="10" customFormat="false" ht="15" hidden="false" customHeight="false" outlineLevel="0" collapsed="false">
      <c r="A10" s="3" t="s">
        <v>152</v>
      </c>
      <c r="B10" s="0" t="n">
        <f aca="false">'④全国(内科・耳鼻)'!C4</f>
        <v>7.68533772652389</v>
      </c>
      <c r="C10" s="0" t="n">
        <v>7.68533772652389</v>
      </c>
      <c r="D10" s="0" t="n">
        <f aca="false">B10-C10</f>
        <v>0</v>
      </c>
      <c r="E10" s="0" t="s">
        <v>153</v>
      </c>
    </row>
    <row r="11" customFormat="false" ht="15" hidden="false" customHeight="false" outlineLevel="0" collapsed="false">
      <c r="A11" s="3" t="s">
        <v>154</v>
      </c>
      <c r="B11" s="0" t="n">
        <f aca="false">'④全国(内科・耳鼻)'!D5</f>
        <v>22984826.1393778</v>
      </c>
      <c r="C11" s="0" t="n">
        <v>22984826.1393778</v>
      </c>
      <c r="D11" s="0" t="n">
        <f aca="false">B11-C11</f>
        <v>0</v>
      </c>
      <c r="E11" s="3" t="s">
        <v>155</v>
      </c>
    </row>
    <row r="12" customFormat="false" ht="15" hidden="false" customHeight="false" outlineLevel="0" collapsed="false">
      <c r="A12" s="3" t="s">
        <v>156</v>
      </c>
      <c r="B12" s="0" t="n">
        <f aca="false">'④全国(内科・耳鼻)'!D6</f>
        <v>83576.5786639004</v>
      </c>
      <c r="C12" s="0" t="n">
        <v>83576.5786638992</v>
      </c>
      <c r="D12" s="0" t="n">
        <f aca="false">B12-C12</f>
        <v>1.16415321826935E-009</v>
      </c>
      <c r="E12" s="0" t="s">
        <v>157</v>
      </c>
    </row>
    <row r="13" customFormat="false" ht="15" hidden="false" customHeight="false" outlineLevel="0" collapsed="false">
      <c r="A13" s="3" t="s">
        <v>158</v>
      </c>
      <c r="B13" s="0" t="n">
        <f aca="false">'④全国(内科・耳鼻)'!D7</f>
        <v>2973152.18690538</v>
      </c>
      <c r="C13" s="0" t="n">
        <v>2973152.18690538</v>
      </c>
      <c r="D13" s="0" t="n">
        <f aca="false">B13-C13</f>
        <v>0</v>
      </c>
      <c r="E13" s="0" t="s">
        <v>159</v>
      </c>
    </row>
    <row r="14" customFormat="false" ht="15" hidden="false" customHeight="false" outlineLevel="0" collapsed="false">
      <c r="A14" s="3" t="s">
        <v>160</v>
      </c>
      <c r="B14" s="0" t="n">
        <f aca="false">'④全国(内科・耳鼻)'!D10</f>
        <v>11903.4440567892</v>
      </c>
      <c r="C14" s="0" t="n">
        <v>11903.4440567892</v>
      </c>
      <c r="D14" s="0" t="n">
        <f aca="false">B14-C14</f>
        <v>0</v>
      </c>
      <c r="E14" s="3" t="s">
        <v>161</v>
      </c>
    </row>
    <row r="15" customFormat="false" ht="15" hidden="false" customHeight="false" outlineLevel="0" collapsed="false">
      <c r="A15" s="3" t="s">
        <v>162</v>
      </c>
      <c r="B15" s="0" t="n">
        <f aca="false">'④全国(内科・耳鼻)'!D11</f>
        <v>3453.94740177339</v>
      </c>
      <c r="C15" s="0" t="n">
        <v>3453.94740177339</v>
      </c>
      <c r="D15" s="0" t="n">
        <f aca="false">B15-C15</f>
        <v>0</v>
      </c>
      <c r="E15" s="0" t="s">
        <v>163</v>
      </c>
    </row>
    <row r="16" customFormat="false" ht="15" hidden="false" customHeight="false" outlineLevel="0" collapsed="false">
      <c r="A16" s="3" t="s">
        <v>164</v>
      </c>
      <c r="B16" s="0" t="n">
        <f aca="false">'④全国(内科・耳鼻)'!D12</f>
        <v>6627.70586242868</v>
      </c>
      <c r="C16" s="0" t="n">
        <v>6627.70586242868</v>
      </c>
      <c r="D16" s="0" t="n">
        <f aca="false">B16-C16</f>
        <v>0</v>
      </c>
      <c r="E16" s="0" t="s">
        <v>165</v>
      </c>
    </row>
    <row r="17" customFormat="false" ht="15" hidden="false" customHeight="false" outlineLevel="0" collapsed="false">
      <c r="A17" s="3" t="s">
        <v>166</v>
      </c>
      <c r="B17" s="0" t="n">
        <f aca="false">'④全国(内科・耳鼻)'!D13</f>
        <v>10805.0831682176</v>
      </c>
      <c r="C17" s="0" t="n">
        <v>10805.0831682176</v>
      </c>
      <c r="D17" s="0" t="n">
        <f aca="false">B17-C17</f>
        <v>0</v>
      </c>
      <c r="E17" s="0" t="s">
        <v>167</v>
      </c>
    </row>
    <row r="18" customFormat="false" ht="15" hidden="false" customHeight="false" outlineLevel="0" collapsed="false">
      <c r="A18" s="3" t="s">
        <v>168</v>
      </c>
      <c r="B18" s="0" t="n">
        <f aca="false">'④全国(内科・耳鼻)'!D14</f>
        <v>5613.24128252753</v>
      </c>
      <c r="C18" s="0" t="n">
        <v>5613.24128252753</v>
      </c>
      <c r="D18" s="0" t="n">
        <f aca="false">B18-C18</f>
        <v>0</v>
      </c>
      <c r="E18" s="0" t="s">
        <v>169</v>
      </c>
    </row>
    <row r="19" customFormat="false" ht="15" hidden="false" customHeight="false" outlineLevel="0" collapsed="false">
      <c r="A19" s="3" t="s">
        <v>170</v>
      </c>
      <c r="B19" s="0" t="n">
        <f aca="false">'④全国(内科・耳鼻)'!D15</f>
        <v>110.048797363253</v>
      </c>
      <c r="C19" s="0" t="n">
        <v>110.048797363253</v>
      </c>
      <c r="D19" s="0" t="n">
        <f aca="false">B19-C19</f>
        <v>0</v>
      </c>
      <c r="E19" s="3" t="s">
        <v>171</v>
      </c>
    </row>
    <row r="20" customFormat="false" ht="15" hidden="false" customHeight="false" outlineLevel="0" collapsed="false">
      <c r="A20" s="3" t="s">
        <v>172</v>
      </c>
      <c r="B20" s="0" t="n">
        <f aca="false">'④全国(内科・耳鼻)'!D16</f>
        <v>330.14639208976</v>
      </c>
      <c r="C20" s="0" t="n">
        <v>330.14639208976</v>
      </c>
      <c r="D20" s="0" t="n">
        <f aca="false">B20-C20</f>
        <v>0</v>
      </c>
      <c r="E20" s="3" t="s">
        <v>173</v>
      </c>
    </row>
    <row r="21" customFormat="false" ht="15" hidden="false" customHeight="false" outlineLevel="0" collapsed="false">
      <c r="A21" s="3" t="s">
        <v>174</v>
      </c>
      <c r="B21" s="0" t="n">
        <f aca="false">'④全国(内科・耳鼻)'!D17</f>
        <v>660.29278417952</v>
      </c>
      <c r="C21" s="0" t="n">
        <v>660.292784179521</v>
      </c>
      <c r="D21" s="0" t="n">
        <f aca="false">B21-C21</f>
        <v>0</v>
      </c>
      <c r="E21" s="3" t="s">
        <v>175</v>
      </c>
    </row>
    <row r="22" customFormat="false" ht="15" hidden="false" customHeight="false" outlineLevel="0" collapsed="false">
      <c r="A22" s="3" t="s">
        <v>176</v>
      </c>
      <c r="B22" s="0" t="n">
        <f aca="false">'④全国(内科・耳鼻)'!D18</f>
        <v>290.117392578536</v>
      </c>
      <c r="C22" s="0" t="n">
        <v>290.117392578536</v>
      </c>
      <c r="D22" s="0" t="n">
        <f aca="false">B22-C22</f>
        <v>0</v>
      </c>
      <c r="E22" s="3" t="s">
        <v>177</v>
      </c>
    </row>
    <row r="23" customFormat="false" ht="15" hidden="false" customHeight="false" outlineLevel="0" collapsed="false">
      <c r="A23" s="3" t="s">
        <v>178</v>
      </c>
      <c r="B23" s="0" t="n">
        <f aca="false">'④全国(内科・耳鼻)'!D19</f>
        <v>870.352177735609</v>
      </c>
      <c r="C23" s="0" t="n">
        <v>870.352177735609</v>
      </c>
      <c r="D23" s="0" t="n">
        <f aca="false">B23-C23</f>
        <v>0</v>
      </c>
      <c r="E23" s="3" t="s">
        <v>179</v>
      </c>
    </row>
    <row r="24" customFormat="false" ht="15" hidden="false" customHeight="false" outlineLevel="0" collapsed="false">
      <c r="A24" s="3" t="s">
        <v>180</v>
      </c>
      <c r="B24" s="0" t="n">
        <f aca="false">'④全国(内科・耳鼻)'!D20</f>
        <v>1740.70435547122</v>
      </c>
      <c r="C24" s="0" t="n">
        <v>1740.70435547122</v>
      </c>
      <c r="D24" s="0" t="n">
        <f aca="false">B24-C24</f>
        <v>0</v>
      </c>
      <c r="E24" s="3" t="s">
        <v>181</v>
      </c>
    </row>
    <row r="25" customFormat="false" ht="15" hidden="false" customHeight="false" outlineLevel="0" collapsed="false">
      <c r="A25" s="3" t="s">
        <v>121</v>
      </c>
      <c r="B25" s="0" t="n">
        <f aca="false">'④全国(内科・耳鼻)'!D22</f>
        <v>0.874290780141844</v>
      </c>
      <c r="C25" s="0" t="n">
        <v>0.874290780141844</v>
      </c>
      <c r="D25" s="0" t="n">
        <f aca="false">B25-C25</f>
        <v>0</v>
      </c>
      <c r="E25" s="0" t="s">
        <v>182</v>
      </c>
    </row>
    <row r="26" customFormat="false" ht="15" hidden="false" customHeight="false" outlineLevel="0" collapsed="false">
      <c r="A26" s="3" t="s">
        <v>123</v>
      </c>
      <c r="B26" s="0" t="n">
        <f aca="false">'④全国(内科・耳鼻)'!D23</f>
        <v>161527.587360778</v>
      </c>
      <c r="C26" s="0" t="n">
        <v>161527.587360778</v>
      </c>
      <c r="D26" s="0" t="n">
        <f aca="false">B26-C26</f>
        <v>0</v>
      </c>
      <c r="E26" s="3" t="s">
        <v>183</v>
      </c>
    </row>
    <row r="27" customFormat="false" ht="15" hidden="false" customHeight="false" outlineLevel="0" collapsed="false">
      <c r="A27" s="0" t="s">
        <v>184</v>
      </c>
      <c r="B27" s="0" t="n">
        <f aca="false">'④全国(内科・耳鼻)'!D24</f>
        <v>27063.2030858321</v>
      </c>
      <c r="C27" s="0" t="n">
        <v>27063.2030858321</v>
      </c>
      <c r="D27" s="0" t="n">
        <f aca="false">B27-C27</f>
        <v>0</v>
      </c>
      <c r="E27" s="3" t="s">
        <v>185</v>
      </c>
    </row>
    <row r="28" customFormat="false" ht="15" hidden="false" customHeight="false" outlineLevel="0" collapsed="false">
      <c r="A28" s="3" t="s">
        <v>186</v>
      </c>
      <c r="B28" s="0" t="n">
        <f aca="false">'④全国(内科・耳鼻)'!D25</f>
        <v>2978272.95239331</v>
      </c>
      <c r="C28" s="0" t="n">
        <v>2978272.95239331</v>
      </c>
      <c r="D28" s="0" t="n">
        <f aca="false">B28-C28</f>
        <v>0</v>
      </c>
      <c r="E28" s="0" t="s">
        <v>187</v>
      </c>
    </row>
    <row r="29" customFormat="false" ht="15" hidden="false" customHeight="false" outlineLevel="0" collapsed="false">
      <c r="A29" s="3" t="s">
        <v>188</v>
      </c>
      <c r="B29" s="0" t="n">
        <f aca="false">'④全国(内科・耳鼻)'!D26</f>
        <v>8934818.85717993</v>
      </c>
      <c r="C29" s="0" t="n">
        <v>8934818.85717993</v>
      </c>
      <c r="D29" s="0" t="n">
        <f aca="false">B29-C29</f>
        <v>0</v>
      </c>
      <c r="E29" s="0" t="s">
        <v>189</v>
      </c>
    </row>
    <row r="30" customFormat="false" ht="15" hidden="false" customHeight="false" outlineLevel="0" collapsed="false">
      <c r="A30" s="3" t="s">
        <v>190</v>
      </c>
      <c r="B30" s="0" t="n">
        <f aca="false">'④全国(内科・耳鼻)'!D27</f>
        <v>17869637.7143599</v>
      </c>
      <c r="C30" s="0" t="n">
        <v>17869637.7143599</v>
      </c>
      <c r="D30" s="0" t="n">
        <f aca="false">B30-C30</f>
        <v>0</v>
      </c>
      <c r="E30" s="0" t="s">
        <v>191</v>
      </c>
    </row>
    <row r="31" customFormat="false" ht="15" hidden="false" customHeight="false" outlineLevel="0" collapsed="false">
      <c r="A31" s="3" t="s">
        <v>192</v>
      </c>
      <c r="B31" s="0" t="n">
        <f aca="false">'④全国(内科・耳鼻)'!D28</f>
        <v>7851505.914085</v>
      </c>
      <c r="C31" s="0" t="n">
        <v>7851505.914085</v>
      </c>
      <c r="D31" s="0" t="n">
        <f aca="false">B31-C31</f>
        <v>0</v>
      </c>
      <c r="E31" s="0" t="s">
        <v>193</v>
      </c>
    </row>
    <row r="32" customFormat="false" ht="15" hidden="false" customHeight="false" outlineLevel="0" collapsed="false">
      <c r="A32" s="3" t="s">
        <v>194</v>
      </c>
      <c r="B32" s="0" t="n">
        <f aca="false">'④全国(内科・耳鼻)'!D29</f>
        <v>23554517.742255</v>
      </c>
      <c r="C32" s="0" t="n">
        <v>23554517.742255</v>
      </c>
      <c r="D32" s="0" t="n">
        <f aca="false">B32-C32</f>
        <v>0</v>
      </c>
      <c r="E32" s="0" t="s">
        <v>195</v>
      </c>
    </row>
    <row r="33" customFormat="false" ht="15" hidden="false" customHeight="false" outlineLevel="0" collapsed="false">
      <c r="A33" s="3" t="s">
        <v>196</v>
      </c>
      <c r="B33" s="0" t="n">
        <f aca="false">'④全国(内科・耳鼻)'!D30</f>
        <v>47109035.48451</v>
      </c>
      <c r="C33" s="0" t="n">
        <v>47109035.48451</v>
      </c>
      <c r="D33" s="0" t="n">
        <f aca="false">B33-C33</f>
        <v>0</v>
      </c>
      <c r="E33" s="0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2026-10-09T05:27:30Z</dcterms:created>
  <dc:creator>openpyxl</dc:creator>
  <dc:description/>
  <dc:language>en-US</dc:language>
  <cp:lastModifiedBy/>
  <dcterms:modified xsi:type="dcterms:W3CDTF">2026-10-09T05:27:30Z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